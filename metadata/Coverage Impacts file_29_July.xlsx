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caseybreen/workspace/dgg_research/impacts_demographic/"/>
    </mc:Choice>
  </mc:AlternateContent>
  <xr:revisionPtr revIDLastSave="0" documentId="13_ncr:1_{F11CAA30-29E6-8441-9B1A-23809ABF47EF}" xr6:coauthVersionLast="47" xr6:coauthVersionMax="47" xr10:uidLastSave="{00000000-0000-0000-0000-000000000000}"/>
  <bookViews>
    <workbookView xWindow="0" yWindow="760" windowWidth="34560" windowHeight="19520" xr2:uid="{00000000-000D-0000-FFFF-FFFF00000000}"/>
  </bookViews>
  <sheets>
    <sheet name="Sample_Countries" sheetId="2" r:id="rId1"/>
    <sheet name="Till Sample composition" sheetId="1" r:id="rId2"/>
    <sheet name="Potential Controls outside DHS" sheetId="3" r:id="rId3"/>
    <sheet name="women dhs potential outcomes" sheetId="4" r:id="rId4"/>
    <sheet name="Men dhs potential outcomes" sheetId="5" r:id="rId5"/>
    <sheet name="Potential controls DHS " sheetId="6" r:id="rId6"/>
    <sheet name="Harmonized vars  cross sample" sheetId="8" r:id="rId7"/>
    <sheet name="Critical vars for merging etc"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 i="1" l="1"/>
  <c r="D37" i="1"/>
  <c r="C37" i="1"/>
  <c r="B37" i="1"/>
  <c r="J23" i="1"/>
  <c r="I23" i="1"/>
  <c r="H23" i="1"/>
  <c r="G23" i="1"/>
</calcChain>
</file>

<file path=xl/sharedStrings.xml><?xml version="1.0" encoding="utf-8"?>
<sst xmlns="http://schemas.openxmlformats.org/spreadsheetml/2006/main" count="1020" uniqueCount="817">
  <si>
    <t>Cross-Sectional</t>
  </si>
  <si>
    <t>Rollout</t>
  </si>
  <si>
    <t>With OCI updates</t>
  </si>
  <si>
    <t>Without OCI updates</t>
  </si>
  <si>
    <t>-1/+2</t>
  </si>
  <si>
    <t>0/+2</t>
  </si>
  <si>
    <t>Albania</t>
  </si>
  <si>
    <t>Burkina Faso</t>
  </si>
  <si>
    <t>Armenia</t>
  </si>
  <si>
    <t>Benin</t>
  </si>
  <si>
    <t>Bangladesh</t>
  </si>
  <si>
    <t>Ghana</t>
  </si>
  <si>
    <t>Ethiopia</t>
  </si>
  <si>
    <t>Côte d’Ivoire</t>
  </si>
  <si>
    <t>Cambodia</t>
  </si>
  <si>
    <t>Cameroon</t>
  </si>
  <si>
    <t>Liberia</t>
  </si>
  <si>
    <t>Lesotho</t>
  </si>
  <si>
    <t>Jordan</t>
  </si>
  <si>
    <t>Nigeria</t>
  </si>
  <si>
    <t>Malawi</t>
  </si>
  <si>
    <t>Mali</t>
  </si>
  <si>
    <t>Gambia</t>
  </si>
  <si>
    <t>Guinea</t>
  </si>
  <si>
    <t>Rwanda</t>
  </si>
  <si>
    <t>India</t>
  </si>
  <si>
    <t>South Africa</t>
  </si>
  <si>
    <t>Senegal</t>
  </si>
  <si>
    <t>Zambia</t>
  </si>
  <si>
    <t/>
  </si>
  <si>
    <t>Kenya</t>
  </si>
  <si>
    <t>Zimbabwe</t>
  </si>
  <si>
    <t>Tanzania</t>
  </si>
  <si>
    <t>Nepal</t>
  </si>
  <si>
    <t>Philippines</t>
  </si>
  <si>
    <t>Madagascar</t>
  </si>
  <si>
    <t>Sierra Leone</t>
  </si>
  <si>
    <t>Mauritania</t>
  </si>
  <si>
    <t>ML</t>
  </si>
  <si>
    <t>MW</t>
  </si>
  <si>
    <t>NG</t>
  </si>
  <si>
    <t>GH</t>
  </si>
  <si>
    <t>GM</t>
  </si>
  <si>
    <t>GN</t>
  </si>
  <si>
    <t>MR</t>
  </si>
  <si>
    <t>ZA</t>
  </si>
  <si>
    <t>ZW</t>
  </si>
  <si>
    <t>Pakistan</t>
  </si>
  <si>
    <t>Tajikistan</t>
  </si>
  <si>
    <t>Countries</t>
  </si>
  <si>
    <t>DHS Years</t>
  </si>
  <si>
    <t>2004, 2011</t>
  </si>
  <si>
    <t>2008 ,2014</t>
  </si>
  <si>
    <t>2010, 2014</t>
  </si>
  <si>
    <t>2009, 2014</t>
  </si>
  <si>
    <t>2008, 2018</t>
  </si>
  <si>
    <t>Analysis type</t>
  </si>
  <si>
    <t>Cross section</t>
  </si>
  <si>
    <t>Control variables</t>
  </si>
  <si>
    <t>Source</t>
  </si>
  <si>
    <t>Reference</t>
  </si>
  <si>
    <t>Primary Roads (100 km)</t>
  </si>
  <si>
    <t>Africa Infrastructure Country diagnostic (ADB)</t>
  </si>
  <si>
    <t>Manacorda and Tesei (2020)</t>
  </si>
  <si>
    <t>Electricity (100 km)</t>
  </si>
  <si>
    <t>Infant Mortality rate (%)</t>
  </si>
  <si>
    <t>SEDAC/ NASA</t>
  </si>
  <si>
    <t>Mountain (%)</t>
  </si>
  <si>
    <t>UNEP-WCMC</t>
  </si>
  <si>
    <t>Forest (%)</t>
  </si>
  <si>
    <t>GlobCover</t>
  </si>
  <si>
    <t>Diamonds (dummy)</t>
  </si>
  <si>
    <t>PRIO</t>
  </si>
  <si>
    <t>Oil (%)</t>
  </si>
  <si>
    <t>Mines (dummy)</t>
  </si>
  <si>
    <t>US Geological Survey</t>
  </si>
  <si>
    <t>Temperature (Celsius)</t>
  </si>
  <si>
    <t>NOAA/NASA</t>
  </si>
  <si>
    <t>Rainfall (m)</t>
  </si>
  <si>
    <t>GPCP/ CPC Global Unified Temperature
(By Physical Sciences Laboratory)</t>
  </si>
  <si>
    <t>Manacorda and Tesei (2020) / Fluckiger and Ludwig (2023)</t>
  </si>
  <si>
    <t>Nightlights</t>
  </si>
  <si>
    <t xml:space="preserve">NOAA/NASA;
 A harmonized global nighttime light dataset 1992–2018
Xuecao Li, Yuyu Zhou, Min Zhao &amp; Xia Zhao </t>
  </si>
  <si>
    <t>Lightning strikes (per km sq. per year)</t>
  </si>
  <si>
    <t>GHRC/NASA</t>
  </si>
  <si>
    <t>Border Distance, capital Distance, and Coast Distance</t>
  </si>
  <si>
    <t>Economic Indicator (GDP)</t>
  </si>
  <si>
    <t xml:space="preserve">Elevation (Average elevation, Ruggedness Index based on Riley et. al (1999)) </t>
  </si>
  <si>
    <t>WorldClim, v. 2.1
GMTED2010</t>
  </si>
  <si>
    <t>Fluckiger and Ludwig (2023) / Guriev et al. (2021)</t>
  </si>
  <si>
    <t>Deserts and Mountain Ranges</t>
  </si>
  <si>
    <t>World Land-Based Polygon Features (Available at Stanford University’s Digital Repository)</t>
  </si>
  <si>
    <t>Guriev et al. (2021)</t>
  </si>
  <si>
    <t>Estimates for smart phone penetration rates</t>
  </si>
  <si>
    <t>Several Sources</t>
  </si>
  <si>
    <t>Active mobile broadband subscriptions per capita</t>
  </si>
  <si>
    <t>International Telecommunication Union</t>
  </si>
  <si>
    <t>DHS-7 Questions Womens's File (2013-2018)</t>
  </si>
  <si>
    <t>Indicators</t>
  </si>
  <si>
    <t>Question no. in survey</t>
  </si>
  <si>
    <t>Respondent owns a mobile telephone</t>
  </si>
  <si>
    <t>v169a</t>
  </si>
  <si>
    <t>Respondents uses her mobile telephone for financial transactions
BASE: Respondents owning a mobile telephone (V169A = 1)</t>
  </si>
  <si>
    <t>v169b</t>
  </si>
  <si>
    <t>Respondent has an account in a bank or other financial institution that she uses</t>
  </si>
  <si>
    <t>v170</t>
  </si>
  <si>
    <t xml:space="preserve">Use of internet in the last 12 months </t>
  </si>
  <si>
    <t>V171a</t>
  </si>
  <si>
    <t xml:space="preserve">Frequency of using internet in the last month </t>
  </si>
  <si>
    <t>v171b</t>
  </si>
  <si>
    <t>Whether the respondent is currently working.
BASE: All women.</t>
  </si>
  <si>
    <t>v714</t>
  </si>
  <si>
    <t>Whether the respondent has a job or business from which she was absent for leave, illness,
vacation, maternity leave, or any other reason for the last 7 days.
BASE: Women not currently working and women who had a job from which she was
absent (V714 = 0 and V714A = 1).</t>
  </si>
  <si>
    <t>v714a</t>
  </si>
  <si>
    <t>Respondent's occupation as collected in the country. Codes are country-specific.
BASE: All women</t>
  </si>
  <si>
    <t>v716</t>
  </si>
  <si>
    <t>Standardized respondent's occupation groups. Agricultural categories also include
fishermen, foresters and hunters and are not the basis for selection of agricultural/nonagricultural
workers. In countries, where it is not possible to differentiate between selfemployed
agricultural workers and agricultural employees, no attempt has been made to use
other information, and code 4 has been used for both categories. The analyst may wish to
use other related information to differentiate between these two categories.
BASE: All women.</t>
  </si>
  <si>
    <t>v717</t>
  </si>
  <si>
    <t>Whether the respondent works for a family member, for someone else or is self-employed.
BASE: Women who worked in last 12 months (V716 &lt;&gt; 0).</t>
  </si>
  <si>
    <t>v719</t>
  </si>
  <si>
    <t>Whether the respondent works at home or away from home. This question is no longer part
of the DHS VII core questionnaire, but the variable is kept in the DHS VII recode.</t>
  </si>
  <si>
    <t>v721</t>
  </si>
  <si>
    <t>Whether the respondent worked in the last 12 months.</t>
  </si>
  <si>
    <t>v731</t>
  </si>
  <si>
    <t>Whether the respondent works throughout the year, seasonally, or just occasionally.
BASE: Women who are currently working or who have worked in the past year (V731 = 1
or V731 = 2 or V731 = 3).</t>
  </si>
  <si>
    <t>v732</t>
  </si>
  <si>
    <t>The person who mainly decides how the money earned by the respondent is used.
BASE: Currently married or in union women who were paid cash for their work (V502 = 1
and V741 = 1 or V741 = 2).</t>
  </si>
  <si>
    <t>v739</t>
  </si>
  <si>
    <t>Whether the respondent works on her own land, family land, rented land or on someone
else's land. This question is no longer part of the DHS VII core questionnaire, but the
variable is kept in the DHS VII recode.</t>
  </si>
  <si>
    <t>v740</t>
  </si>
  <si>
    <t>Type of earnings for work. The respondent is asked whether they receive cash for their
work, they are paid in kind, a combination of the two or not paid.
BASE: Respondents who have worked during the last 12 months (V731 = 1 or V731 = 2 or
V731 = 3).</t>
  </si>
  <si>
    <t>v741</t>
  </si>
  <si>
    <t>Final say in the family on the following decisions:
This questions pertaining to V743C and V743E are no longer part of the DHS VII core
questionnaire, but the variables are kept in the DHS VII recode.
BASE: For V743A to V743F is currently married or in union women (V502 = 1).</t>
  </si>
  <si>
    <t>Respondent’s health care</t>
  </si>
  <si>
    <t>v743a</t>
  </si>
  <si>
    <t>Making large household purchases</t>
  </si>
  <si>
    <t>v743b</t>
  </si>
  <si>
    <t>Making household purchases for daily needs</t>
  </si>
  <si>
    <t>v743c</t>
  </si>
  <si>
    <t>Visits to family or relatives</t>
  </si>
  <si>
    <t>v743d</t>
  </si>
  <si>
    <t>Food to be cooked each day</t>
  </si>
  <si>
    <t>v743e</t>
  </si>
  <si>
    <t>What to do with money husband earns</t>
  </si>
  <si>
    <t>v743f</t>
  </si>
  <si>
    <t>It is the respondent’s opinion that a husband is justified in hitting or beating his wife when:
BASE: For V744A to V744E is all women.</t>
  </si>
  <si>
    <t>She goes out without telling him</t>
  </si>
  <si>
    <t>v744a</t>
  </si>
  <si>
    <t>She neglects the children</t>
  </si>
  <si>
    <t>v744b</t>
  </si>
  <si>
    <t>She argues with him</t>
  </si>
  <si>
    <t>v744c</t>
  </si>
  <si>
    <t>She refuses to have sex with him</t>
  </si>
  <si>
    <t>v744d</t>
  </si>
  <si>
    <t>She burns the food</t>
  </si>
  <si>
    <t>v744e</t>
  </si>
  <si>
    <t>Owns a house alone or jointly
BASE: All women.</t>
  </si>
  <si>
    <t>v745a</t>
  </si>
  <si>
    <t>Owns land alone or jointly
BASE: All women</t>
  </si>
  <si>
    <t>V745b</t>
  </si>
  <si>
    <t>Whether the respondent’s name is on the title deed for the owned house
BASE: Respondents who own a house alone or jointly (V754A &lt;&gt; 0).</t>
  </si>
  <si>
    <t>V745c</t>
  </si>
  <si>
    <t>Whether the respondent’s name is on the title deed for the owned land
BASE: Respondents who own land alone or jointly (V754B &lt;&gt; 0).</t>
  </si>
  <si>
    <t>v745d</t>
  </si>
  <si>
    <t>Whether the respondent earns more than her partner.
BASE: Currently married or in union women who were paid cash for their work (V502 = 1
and V741 = 1 or V741 = 2).</t>
  </si>
  <si>
    <t>v746</t>
  </si>
  <si>
    <t>Weight for domestic violence respondents (6 decimals).
BASE: All women eligible for domestic violence and interviewed (V044 = 1)</t>
  </si>
  <si>
    <t>d005</t>
  </si>
  <si>
    <t>Relationship with partner
BASE: Women currently in union (V502 = 1).</t>
  </si>
  <si>
    <t>Husband jealous if talking with other men</t>
  </si>
  <si>
    <t>d101a</t>
  </si>
  <si>
    <t>Husband accuses her of unfaithfulness.</t>
  </si>
  <si>
    <t>d101b</t>
  </si>
  <si>
    <t>Does not permit her to meet her girl-friends.</t>
  </si>
  <si>
    <t>d101c</t>
  </si>
  <si>
    <t>Husband tries to limit her contact with family.</t>
  </si>
  <si>
    <t>d101d</t>
  </si>
  <si>
    <t>Husband insists on knowing where she is.</t>
  </si>
  <si>
    <t>d101e</t>
  </si>
  <si>
    <t>Husband doesn't trust her with money</t>
  </si>
  <si>
    <t>d101f</t>
  </si>
  <si>
    <t>Country specific control issue</t>
  </si>
  <si>
    <t>d101g</t>
  </si>
  <si>
    <t>d101h</t>
  </si>
  <si>
    <t>d101I</t>
  </si>
  <si>
    <t>d101j</t>
  </si>
  <si>
    <t>Number of control issues</t>
  </si>
  <si>
    <t>d102</t>
  </si>
  <si>
    <t>Emotional violence
BASE: Women currently in union (V502 = 1).</t>
  </si>
  <si>
    <t>Spouse ever humiliated her.</t>
  </si>
  <si>
    <t>d103a</t>
  </si>
  <si>
    <t>Spouse ever threatened her with harm</t>
  </si>
  <si>
    <t>d103b</t>
  </si>
  <si>
    <t>Spouse ever insulted her or made her feel bad</t>
  </si>
  <si>
    <t>d103c</t>
  </si>
  <si>
    <t>Country specific emotional abuse: ever.</t>
  </si>
  <si>
    <t>d103d</t>
  </si>
  <si>
    <t>d103e</t>
  </si>
  <si>
    <t>d103f</t>
  </si>
  <si>
    <t>Ever any emotional violence</t>
  </si>
  <si>
    <t>d104</t>
  </si>
  <si>
    <t>Physical violence
BASE: Women currently in union (V502 = 1).</t>
  </si>
  <si>
    <t>Spouse ever pushed, shook or threw something.</t>
  </si>
  <si>
    <t>d105a</t>
  </si>
  <si>
    <t>Spouse ever slapped.</t>
  </si>
  <si>
    <t>d105b</t>
  </si>
  <si>
    <t>Spouse ever punched with fist or something harmful.</t>
  </si>
  <si>
    <t>d105c</t>
  </si>
  <si>
    <t>Spouse ever kicked or dragged.</t>
  </si>
  <si>
    <t>d105d</t>
  </si>
  <si>
    <t>Spouse ever tried to strangle or burn.</t>
  </si>
  <si>
    <t>d105e</t>
  </si>
  <si>
    <t>Spouse ever threatened with knife/gun or other weapon</t>
  </si>
  <si>
    <t>d105f</t>
  </si>
  <si>
    <t>Spouse ever attacked with knife/gun or other weapon.</t>
  </si>
  <si>
    <t>d105g</t>
  </si>
  <si>
    <t>Spouse ever physically forced sex when not wanted.</t>
  </si>
  <si>
    <t>d105h</t>
  </si>
  <si>
    <t>Spouse ever forced other sexual acts when not wanted</t>
  </si>
  <si>
    <t>d105i</t>
  </si>
  <si>
    <t>Spouse ever twisted her arm or pulled her hair.</t>
  </si>
  <si>
    <t>d105j</t>
  </si>
  <si>
    <t>Physical violence</t>
  </si>
  <si>
    <t>d105k</t>
  </si>
  <si>
    <t>d105l</t>
  </si>
  <si>
    <t>d105m</t>
  </si>
  <si>
    <t>d105n</t>
  </si>
  <si>
    <t>Experienced any less severe violence.</t>
  </si>
  <si>
    <t>d106</t>
  </si>
  <si>
    <t>Experienced any severe violence</t>
  </si>
  <si>
    <t>d107</t>
  </si>
  <si>
    <t>Experienced any sexual violence</t>
  </si>
  <si>
    <t>d108</t>
  </si>
  <si>
    <t>First time it happened.
BASE: Women currently in union and experienced any violence (V502 = 1 and D106 = 1
or D107 = 1 or D108 = 1)</t>
  </si>
  <si>
    <t>d109</t>
  </si>
  <si>
    <t>Result of husband’s acts
BASE: Women currently in union and experienced any violence (V502 = 1 and D106 = 1
or D107 = 1 or D108 = 1)..</t>
  </si>
  <si>
    <t>Ever had bruises because of husband's action.</t>
  </si>
  <si>
    <t>d110a</t>
  </si>
  <si>
    <t>Ever had injury, sprain, dislocations or burns.</t>
  </si>
  <si>
    <t>d110b</t>
  </si>
  <si>
    <t>Ever went to health facility because of husband's action</t>
  </si>
  <si>
    <t>d110c</t>
  </si>
  <si>
    <t>Ever had wounds, broken bones, broken teeth or other serious.</t>
  </si>
  <si>
    <t>d110d</t>
  </si>
  <si>
    <t>Because of husband's action</t>
  </si>
  <si>
    <t>d110e</t>
  </si>
  <si>
    <t>d110f</t>
  </si>
  <si>
    <t>d110g</t>
  </si>
  <si>
    <t>d110h</t>
  </si>
  <si>
    <t>Any results of husband's actions.
BASE: Women currently in union (V502 = 1).</t>
  </si>
  <si>
    <t>d111</t>
  </si>
  <si>
    <t>Ever physically hurt husband when he was not hurting respondent.
BASE: Women currently in union (V502 = 1).</t>
  </si>
  <si>
    <t>d112</t>
  </si>
  <si>
    <t>How often physically hurt husband in last 12 months.
BASE: Women currently in union ever physically hurt husband (V502 = 1 and D112 = 1).</t>
  </si>
  <si>
    <t>d112a</t>
  </si>
  <si>
    <t>Partner drinks alcohol.
BASE: Women currently in union (V502 = 1).</t>
  </si>
  <si>
    <t>d113</t>
  </si>
  <si>
    <t>Times partner gets drunk.
BASE: Women currently in union and partner drinks alcohol (V502 = 1 and D113 = 1).</t>
  </si>
  <si>
    <t>d114</t>
  </si>
  <si>
    <t>Physical abuse by others than husband
BASE: All women eligible for domestic violence and interviewed (V044 = 1).</t>
  </si>
  <si>
    <t>List of others
(Can be kept by using d115*)</t>
  </si>
  <si>
    <t>d115*</t>
  </si>
  <si>
    <t>Person who hurt her most often. This question is no longer part of the DHS VII core
questionnaire, but the variable is kept in the DHS VII recode.</t>
  </si>
  <si>
    <t>d116</t>
  </si>
  <si>
    <t>Times physically hit, slapped, kicked or otherwise hurt by other than partner last 12
months.
BASE: Women who hurt by a person other than her husband/partner (D115Y = 0).</t>
  </si>
  <si>
    <t>d117a</t>
  </si>
  <si>
    <t>Physical abuse while pregnant
BASE: Women eligible and interviewed for domestic violence and ever been pregnant
(V044 = 1 and V201 &lt;&gt; 0 or V213 = 1 or V228 = 1).</t>
  </si>
  <si>
    <t>List of perpetrators
(Can be kept by using d118*)</t>
  </si>
  <si>
    <t>d118*</t>
  </si>
  <si>
    <t>Sought help to stop violence
BASE: Women who experienced violence (D106 = 1 or D107 = 1 or D108 = 1 or D130A
= 1 or D130B = 1 or D115Y = 0 or D118Y = 0 or D125 = 1).</t>
  </si>
  <si>
    <t>List of helpers
(Can be kept using d119*)</t>
  </si>
  <si>
    <t>d119*</t>
  </si>
  <si>
    <t>Main reason never sought help. . This question is no longer part of the DHS VII core
questionnaire, but the variable is kept in the DHS VII recode.</t>
  </si>
  <si>
    <t>d120</t>
  </si>
  <si>
    <t>Father of respondent ever beat her mother.
BASE: All women eligible for domestic violence and interviewed (V044 = 1)</t>
  </si>
  <si>
    <t>D121</t>
  </si>
  <si>
    <t>Interview interruption because of the presence of some adult
BASE: All women eligible for domestic violence and interviewed (V044 = 1)</t>
  </si>
  <si>
    <t>Husband</t>
  </si>
  <si>
    <t>d122a</t>
  </si>
  <si>
    <t>Other male</t>
  </si>
  <si>
    <t>d122b</t>
  </si>
  <si>
    <t>Other female</t>
  </si>
  <si>
    <t>d122c</t>
  </si>
  <si>
    <t>First intercourse was wanted or forced. This question is no longer part of the DHS VII core
questionnaire, but the variable is kept in the DHS VII recode</t>
  </si>
  <si>
    <t>d123</t>
  </si>
  <si>
    <t>Anyone other than partner forced respondent to have sex last 12 m.
BASE: Anyone forced respondent to perform sexual acts (D125 = 1)</t>
  </si>
  <si>
    <t>d124</t>
  </si>
  <si>
    <t>Anyone forced respondent to perform sexual acts.
BASE: All women eligible for domestic violence and interviewed (V044 = 1)</t>
  </si>
  <si>
    <t>d125</t>
  </si>
  <si>
    <t>Age at first forced sexual activity
BASE: Women forced to have sexual activity (D108 = 1 and D130B = 1)</t>
  </si>
  <si>
    <t>d126</t>
  </si>
  <si>
    <t>Person who forced respondent to first sexual activity
BASE: Anyone forced respondent to perform sexual acts (D125 = 1)</t>
  </si>
  <si>
    <t>d127</t>
  </si>
  <si>
    <t>Have ever told anyone else about violence.
BASE: Women who experienced violence (D119Y = 0).</t>
  </si>
  <si>
    <t>d128</t>
  </si>
  <si>
    <t>Respondent afraid of husband/partner most of the time, sometimes or never
BASE: Women currently in union (V502 = 1).</t>
  </si>
  <si>
    <t>d129</t>
  </si>
  <si>
    <t>Violence by previous husband
BASE: All women eligible for domestic violence and interviewed and married more than
once (V044 = 1 and V503 = 2)</t>
  </si>
  <si>
    <t>Previous husband: ever hit, slap, kick or physically hurt respondent</t>
  </si>
  <si>
    <t>d130a</t>
  </si>
  <si>
    <t>Previous husband: physically forced to have sex or to perform sexual acts</t>
  </si>
  <si>
    <t>d130b</t>
  </si>
  <si>
    <t>DHS-7 Questions Men's File (2013-2018)</t>
  </si>
  <si>
    <t>Owns a mobile telephone</t>
  </si>
  <si>
    <t>mv169a</t>
  </si>
  <si>
    <t>Use mobile telephone for financial transactions
BASE: Respondents who own a mobile telephone (MV169A = 1).</t>
  </si>
  <si>
    <t>mv169b</t>
  </si>
  <si>
    <t>Has an account in a bank or other financial institution</t>
  </si>
  <si>
    <t>mv170</t>
  </si>
  <si>
    <t>Use of Internet</t>
  </si>
  <si>
    <t>mv171a</t>
  </si>
  <si>
    <t>Frequency of using Internet last month</t>
  </si>
  <si>
    <t>mv171b</t>
  </si>
  <si>
    <t>Whether the respondent is currently working.
BASE: All men.</t>
  </si>
  <si>
    <t>mv714</t>
  </si>
  <si>
    <t>Whether the respondent has a job or business from which she was absent for leave, illness,
vacation, maternity leave, or any other reason for the last 7 days.
BASE: Men not currently working and men who had a job from which she was absent
(MV714 = 0 and MV714A = 1).</t>
  </si>
  <si>
    <t>mv714a</t>
  </si>
  <si>
    <t>Respondent's occupation as collected in the country. Codes are country-specific.
BASE: All men.</t>
  </si>
  <si>
    <t>mv716</t>
  </si>
  <si>
    <t>Standardized respondent's occupation groups; agricultural categories also include fishermen,
foresters and hunters and are not the basis for selection of agricultural/non-agricultural
workers. In countries, where it is not possible to differentiate between self-employed
agricultural workers and agricultural employees, no attempt has been made to use other
information, and code 4 has been used for both categories. The analyst may wish to use
other related information to differentiate between these two categories.
BASE: All men.</t>
  </si>
  <si>
    <t>mv717</t>
  </si>
  <si>
    <t>Whether the respondent works for a family member, for someone else or is self-employed.
This question is no longer part of the DHS VII core questionnaire, but the variable is kept in
the DHS VII recode.
BASE: Men currently working (MV731 = 1 or MV731 = 2).</t>
  </si>
  <si>
    <t>mv719</t>
  </si>
  <si>
    <t>Works at home or away.
This question is no longer part of the DHS VII core questionnaire, but the variable is kept in
the DHS VII recode.</t>
  </si>
  <si>
    <t>mv721</t>
  </si>
  <si>
    <t>Whether the respondent worked in the last 12 months.
BASE: All men</t>
  </si>
  <si>
    <t>mv731</t>
  </si>
  <si>
    <t>Whether the respondent works throughout the year, seasonally, or just occasionally.
BASE: Men who are currently working or who have worked in the past year (MV731 = 1 or
MV731 = 2).</t>
  </si>
  <si>
    <t>mv732</t>
  </si>
  <si>
    <t>Who decides how to spend money.
BASE: Currently married or in union men who were paid in cash or in cash and kind
(MV502 = 1 and MV741 = 1 or MV741 = 2).</t>
  </si>
  <si>
    <t>mv739</t>
  </si>
  <si>
    <t>Whether the respondent works on his own land, family land, rented land, or on someone
else's land. This question is no longer part of the DHS VII core questionnaire, but the
variable is kept in the DHS VII recode.
BASE: Men who are currently working or who have worked in the last 12 months, and who
work or worked in agriculture (MV716 = country-specific agricultural category).</t>
  </si>
  <si>
    <t>mv740</t>
  </si>
  <si>
    <t>Type of earnings for work
BASE: Men who are currently working or who have worked in the past year (MV731 = 1 or
MV731 = 2).</t>
  </si>
  <si>
    <t>mv741</t>
  </si>
  <si>
    <t>Final say of the respondent on key issues
BASE: Currently married or in union men (MV502 = 1).</t>
  </si>
  <si>
    <t>Own health care</t>
  </si>
  <si>
    <t>mv743a</t>
  </si>
  <si>
    <t>mv743b</t>
  </si>
  <si>
    <t>mv743c</t>
  </si>
  <si>
    <t>mv743d</t>
  </si>
  <si>
    <t>mv743e</t>
  </si>
  <si>
    <t>Deciding what to do with money wife earns</t>
  </si>
  <si>
    <t>mv743f</t>
  </si>
  <si>
    <t>Deciding how many children to have</t>
  </si>
  <si>
    <t>mv743g</t>
  </si>
  <si>
    <t>Justification of wife’s beating
BASE: All men.</t>
  </si>
  <si>
    <t>Goes out without telling him</t>
  </si>
  <si>
    <t>mv744a</t>
  </si>
  <si>
    <t>Neglects the children</t>
  </si>
  <si>
    <t>mv744b</t>
  </si>
  <si>
    <t>Argues with him</t>
  </si>
  <si>
    <t>mv744c</t>
  </si>
  <si>
    <t>Refuses to have sex with him</t>
  </si>
  <si>
    <t>mv744d</t>
  </si>
  <si>
    <t>Burns the food</t>
  </si>
  <si>
    <t>mv744e</t>
  </si>
  <si>
    <t>Ownership of house/land</t>
  </si>
  <si>
    <t>Owns a house alone or jointly
BASE: All men.</t>
  </si>
  <si>
    <t>mv745a</t>
  </si>
  <si>
    <t>Owns land alone or jointly
BASE: All men.</t>
  </si>
  <si>
    <t>mv745b</t>
  </si>
  <si>
    <t>Whether the respondent’s name is on the title deed for the owned house
BASE: Respondents who own a housed alone or jointly (MV754A &lt;&gt; 0).</t>
  </si>
  <si>
    <t>mv745c</t>
  </si>
  <si>
    <t>Whether the respondent’s name is on the title deed for the owned land
BASE: Respondents who own land alone or jointly (MV754B &lt;&gt; 0).</t>
  </si>
  <si>
    <t>mv745d</t>
  </si>
  <si>
    <t>Husband’s perception about woman’s pregnancy
The questions pertaining to MV747A to MV747B are no longer part of the DHS VII core
questionnaire, but the variables are kept in the DHS VII recode.</t>
  </si>
  <si>
    <t>Childbearing is a woman's concern.</t>
  </si>
  <si>
    <t>mv747a</t>
  </si>
  <si>
    <t>Important for mother and the child health to get assistance at delivery</t>
  </si>
  <si>
    <t>mv747b</t>
  </si>
  <si>
    <t>Men's file</t>
  </si>
  <si>
    <t>Case identification is used to uniquely identify each respondent. In most surveys this is
constructed by concatenating the cluster or sample point number, the household number and
the respondent's line number, but in some surveys this may be the questionnaire number
taken from the front page of the questionnaire.</t>
  </si>
  <si>
    <t>mcaseid</t>
  </si>
  <si>
    <t>This alphabetic country code is used to identify the survey from which the data were
collected. The code is based on an international standard code. This variable is 3 characters
in length, with the third character indicating the format of the recode file used for this survey.
For all surveys in DHS VII this code will be 7. For example: HT7 is Haiti, KH7 is
Cambodia.</t>
  </si>
  <si>
    <t>mv000</t>
  </si>
  <si>
    <t>Cluster number is the number identifying the sample point as used during the fieldwork.
This variable may be a composite of several variables in the questionnaire. If so, the nonstandard
variables are included in MREC91 as country-specific variables.</t>
  </si>
  <si>
    <t>mv001</t>
  </si>
  <si>
    <t>Household number is the number identifying the household in which the respondent was
interviewed, within the sample point. In some cases, this variable may be the combination of
dwelling number and household number within dwelling. In these cases, the original
variables are included as country-specific variables.</t>
  </si>
  <si>
    <t>mv002</t>
  </si>
  <si>
    <t>Respondent's line number in the household schedule</t>
  </si>
  <si>
    <t>mv003</t>
  </si>
  <si>
    <t>Ultimate area unit is a number assigned to each sample point to identify the ultimate area
units used in the collection of data. This variable is usually the same as the cluster number,
but may be a sequentially numbered variable for samples with a more complicated structure</t>
  </si>
  <si>
    <t>mv004</t>
  </si>
  <si>
    <t>Sample weight is an 8 digit variable with 6 implied decimal places. To use the sample
weight divide it by 1000000 before applying the weighting factor. All sample weights are
normalized such that the weighted number of cases is identical to the unweighted number of
cases when using the full dataset with no selection. This variable should be used to weight
all tabulations produced using the data file. For self-weighting samples this variable is equal
to 1000000.</t>
  </si>
  <si>
    <t>mv005</t>
  </si>
  <si>
    <t>Month of interview</t>
  </si>
  <si>
    <t>mv006</t>
  </si>
  <si>
    <t>Year of interview. This variable now occupies 4 digits.</t>
  </si>
  <si>
    <t>mv007</t>
  </si>
  <si>
    <t>Month of birth of respondent (see note on imputed dates)</t>
  </si>
  <si>
    <t>mv009</t>
  </si>
  <si>
    <t>Year of birth of respondent (see note on imputed dates) now occupies 4 digits.</t>
  </si>
  <si>
    <t>mv010</t>
  </si>
  <si>
    <t>Current age in completed years is calculated from the century month code of the date of birth
of the respondent (MV011) and the century month code of the date of interview (MV008). In
a few cases the age in the data file will be different from that reported by the respondent
when the respondent's birthday was in the month of interview, but he had not yet had his
birthday. If the respondent correctly reported his age at his last birthday (and not his age at
his next birthday) then the calculated age was rounded up from the reported age, to avoid
inconsistencies between the age and the century month code for the birth.</t>
  </si>
  <si>
    <t>mv012</t>
  </si>
  <si>
    <t>Primary sampling unit is a number assigned to sample points to identify the primary
sampling units for use in the calculation of sampling errors. This variable is usually the
same as the cluster number and/or the ultimate area unit, but may differ if the sample design
required a multistage selection process.</t>
  </si>
  <si>
    <t>mv021</t>
  </si>
  <si>
    <t>Sample strata for sampling errors defines the pairings or groupings of primary sampling units
used in the calculation of sampling errors when using the Taylor series expansion method.</t>
  </si>
  <si>
    <t>mv022</t>
  </si>
  <si>
    <t>The stratification used in the sample design is the basic geographic units within which the
sample was designed. For example, if the sample was designed to be self-weighting within
region, this variable would define those regions; if the sample was designed to be selfweighting
within major urban areas, other urban areas and rural areas, this variable would
define the major urban, other urban and rural areas. If the sample is self-weighted at the
national level, this variable is code 0.</t>
  </si>
  <si>
    <t>mv023</t>
  </si>
  <si>
    <t>De facto region of residence: This is a copy of MV101, added to this section to allow for
analysis of completion rates by region.</t>
  </si>
  <si>
    <t>mv024</t>
  </si>
  <si>
    <t>De facto type of place of residence: This is a copy of MV102, added to this section to allow
for analysis of completion rates by urban/rural residence.</t>
  </si>
  <si>
    <t>mv025</t>
  </si>
  <si>
    <t>Interviewer identification code. Codes are country-specific. This variable now occupies 5
digits.</t>
  </si>
  <si>
    <t>mv028</t>
  </si>
  <si>
    <t>Line number, status and age of each wife or partner
BASE: All respondents with 1 or more wive(s)/partner(s) (MV035 &lt;&gt; 0).</t>
  </si>
  <si>
    <t>Line numbers of wives as recorded in the household schedule. This is a multiple variable
with entries for up to 8 wives. This variable can be used, in conjunction with the cluster or
sample point number and the household number to match the men’s data with the women’s
data, to allow for the analysis of couples. An entry with the value 0 means the wife was not
listed as a member of the household.</t>
  </si>
  <si>
    <t>mv034</t>
  </si>
  <si>
    <t>Age of wife or partner.</t>
  </si>
  <si>
    <t>mv034b</t>
  </si>
  <si>
    <t>Number of wives or partners for whom line numbers are given in MV034.</t>
  </si>
  <si>
    <t>mv035</t>
  </si>
  <si>
    <t>Language of the questionnaire</t>
  </si>
  <si>
    <t>mv045a</t>
  </si>
  <si>
    <t>Language used in the interview</t>
  </si>
  <si>
    <t>mv045b</t>
  </si>
  <si>
    <t>Native language of the interview respondent</t>
  </si>
  <si>
    <t>mv045c</t>
  </si>
  <si>
    <t>De facto region of residence. Region in which the respondent was interviewed. Codes are
country-specific. For de jure region of residence, see MV139.</t>
  </si>
  <si>
    <t>mv101</t>
  </si>
  <si>
    <t>De facto type of place of residence. Type of place of residence where the respondent was
interviewed as either urban or rural. Note that this is not the respondent's own
categorization, but was created based on whether the cluster or sample point number is
defined as urban or rural. See also MV134. For de jure type of place of residence, see
MV140.</t>
  </si>
  <si>
    <t>mv102</t>
  </si>
  <si>
    <t>Number of years the respondent has lived in the village, town, or city where he was
interviewed. Visitors to the community are coded 96.</t>
  </si>
  <si>
    <t>mv104</t>
  </si>
  <si>
    <t>Previous residence
BASE: All respondents except those answering "Always" or "Visitor" to MV104
(MV104 &lt;&gt; 95 &amp; MV104 &lt;&gt; 96).</t>
  </si>
  <si>
    <t>Type of place of previous residence is coded as for MV103. In some countries, additional
codes are used for capital/major cities (code 0) and for abroad (code 4).</t>
  </si>
  <si>
    <t>mv105</t>
  </si>
  <si>
    <t>Region of previous residence</t>
  </si>
  <si>
    <t>mv105a</t>
  </si>
  <si>
    <t>Highest education level attended. This is a standardized variable providing level of
education in the following categories: No education, Primary, Secondary, Higher. In some
countries the educational system does not fit naturally within this scheme and a different
categorization was used for the Final Report. In this case, this variable is constructed as
accurately as possible from the country's own scheme and the variable used for the Final
Report is included as a country-specific variable.</t>
  </si>
  <si>
    <t>mv106</t>
  </si>
  <si>
    <t>Highest year of education gives the years of education completed at the level given in
MV106.
BASE: All respondents except those answering "No education" or with missing data for
MV106 (MV106 &lt;&gt; 0 &amp; MV106 &lt;&gt; 9).</t>
  </si>
  <si>
    <t>mv107</t>
  </si>
  <si>
    <t>Religion. Both the question and the codes are country-specific.</t>
  </si>
  <si>
    <t>mv130</t>
  </si>
  <si>
    <t>Ethnicity. Both the question and the codes are country-specific.</t>
  </si>
  <si>
    <t>mv131</t>
  </si>
  <si>
    <t>Education in single years. This variable is constructed from the educational level (MV106)
and the grade at that level (MV107) as follows:
MV106 = &gt; MV133
0 = &gt; 0
1 = &gt; MV107
2 = &gt; MV107+x
3 = &gt; MV107+y
9 = &gt; 99
x = years to complete primary education
y = years to complete primary and secondary education
where both x and y are country-specific.</t>
  </si>
  <si>
    <t>mv133</t>
  </si>
  <si>
    <t>De facto place of residence is the type of place in which the respondent was interviewed.
Urban areas are classified into large cities (capital cities and cities with over 1 million
population), small cities (population over 50,000), and towns (other urban areas), and all
rural areas are assumed to be countryside. Note that this classification differs from that used
in DHS I. This question is no longer part of the DHS VII core questionnaire, but the variable
is kept in the DHS VII recode.</t>
  </si>
  <si>
    <t>mv134</t>
  </si>
  <si>
    <t>Whether the respondent is a usual resident of the household or is just visiting the household.
Responses of "Visitor" to MV104 are visitors to the city, town or village where the interview
took place, but MV135 shows respondents who were visitors to the household.</t>
  </si>
  <si>
    <t>mv135</t>
  </si>
  <si>
    <t>Total number of household members is the number of usual residents plus the number of
visitors who slept in the house the previous night that were listed in the household schedule</t>
  </si>
  <si>
    <t>mv136</t>
  </si>
  <si>
    <t>Educational achievement recodes the education of the respondent into the following
categories: None, incomplete primary, complete primary, incomplete secondary, complete
secondary, higher education. See related variables MV106, MV107, MV133.</t>
  </si>
  <si>
    <t>mv149</t>
  </si>
  <si>
    <t>Relationship to the head of the household. These data are taken from the household
schedule.</t>
  </si>
  <si>
    <t>mv150</t>
  </si>
  <si>
    <t>Sex of the head of the household</t>
  </si>
  <si>
    <t>mv151</t>
  </si>
  <si>
    <t>Age of the head of the household</t>
  </si>
  <si>
    <t>mv152</t>
  </si>
  <si>
    <t>The respondent is asked to read a written sentence and the interviewer would note whether
the respondent could read it or not at all.</t>
  </si>
  <si>
    <t>mv155</t>
  </si>
  <si>
    <t>Media</t>
  </si>
  <si>
    <t>Frequency of reading newspaper or magazine</t>
  </si>
  <si>
    <t>mv157</t>
  </si>
  <si>
    <t>Frequency of listening to radio</t>
  </si>
  <si>
    <t>mv158</t>
  </si>
  <si>
    <t>Frequency of watching television</t>
  </si>
  <si>
    <t>mv159</t>
  </si>
  <si>
    <t>Times away from home in last 12 months</t>
  </si>
  <si>
    <t>mv167</t>
  </si>
  <si>
    <t>Away for more than one month
BASE: Respondents who travelled away from home in last 12 months (MV167 &lt;&gt; 0).</t>
  </si>
  <si>
    <t>mv168</t>
  </si>
  <si>
    <t>Wealth Index</t>
  </si>
  <si>
    <t>mv19*</t>
  </si>
  <si>
    <t>Total number of children ever born</t>
  </si>
  <si>
    <t>mv201</t>
  </si>
  <si>
    <t>Total number of sons living at home</t>
  </si>
  <si>
    <t>mv202</t>
  </si>
  <si>
    <t>Total number of daughters living at home</t>
  </si>
  <si>
    <t>mv203</t>
  </si>
  <si>
    <t>Total number of sons living away from home</t>
  </si>
  <si>
    <t>mv204</t>
  </si>
  <si>
    <t>Total number of daughters living away from home</t>
  </si>
  <si>
    <t>mv205</t>
  </si>
  <si>
    <t>Total number of sons who have died</t>
  </si>
  <si>
    <t>mv206</t>
  </si>
  <si>
    <t>Total number of daughters who have died</t>
  </si>
  <si>
    <t>mv207</t>
  </si>
  <si>
    <t>Age of respondent at first birth</t>
  </si>
  <si>
    <t>mv212</t>
  </si>
  <si>
    <t>Whether the respondent’s first listed partner is currently pregnant.</t>
  </si>
  <si>
    <t>mv213</t>
  </si>
  <si>
    <t>Total number of living children is the sum of variables MV202 to MV205.</t>
  </si>
  <si>
    <t>mv218</t>
  </si>
  <si>
    <t>Number of women the respondent fathered the children with.</t>
  </si>
  <si>
    <t>mv245</t>
  </si>
  <si>
    <t>Tobacco consumption</t>
  </si>
  <si>
    <t>mv463*</t>
  </si>
  <si>
    <t>Smoking frequency per day</t>
  </si>
  <si>
    <t>mv464</t>
  </si>
  <si>
    <t>Smoking frequency per week</t>
  </si>
  <si>
    <t>mv484*</t>
  </si>
  <si>
    <t>Current marital status</t>
  </si>
  <si>
    <t>mv501</t>
  </si>
  <si>
    <t>Information on marital status</t>
  </si>
  <si>
    <t>mv50*</t>
  </si>
  <si>
    <t>mv51*</t>
  </si>
  <si>
    <t>Age at first sexual intercourse (Respondents who had never had sex are coded 0)</t>
  </si>
  <si>
    <t>mv525</t>
  </si>
  <si>
    <t>Whether the respondent has ever been married or lived with a woman.
BASE: Men who are not currently married and not living with a woman (MV502 &lt;&gt; 1).</t>
  </si>
  <si>
    <t>mv535</t>
  </si>
  <si>
    <t>Fertility preferences.. This variable comes from a single question but recoded later
depending on the men’s status. Sterilized men are recoded 4, men whom the partner can’t get
pregnant are recoded 5, men who never had sex are recoded 6, and men who are not in union
are recoded 8.
BASE: All men</t>
  </si>
  <si>
    <t>mv602</t>
  </si>
  <si>
    <t>The ideal number of children that the respondent would have liked to have in his whole life,
irrespective of the number he already has. In many countries it was possible for a respondent
to reply to this question with a range of values, in which case this variable contains the
midpoint between these values. If the midpoint is not an exact number then the number is
rounded up in half the cases and rounded down for the other half. In situations where a
range of values was collected, the original variables are included as country-specific
variables. In some countries, additional country-specific categories are included, such as "It
depends on God" or "As many as I can support" and are given country-specific codes.
BASE: All men.</t>
  </si>
  <si>
    <t>mv613</t>
  </si>
  <si>
    <t>Ideal number of children
BASE: All men.</t>
  </si>
  <si>
    <t>Ideal number of boys</t>
  </si>
  <si>
    <t>mv627</t>
  </si>
  <si>
    <t>Ideal number of girls</t>
  </si>
  <si>
    <t>mv628</t>
  </si>
  <si>
    <t>Ideal number of either sex
These three variables should sum to the total ideal number of children given in variables
MV613. If the response to the question for variables MV613 is a non-numeric response,
these variables are coded with the same response. In addition, there may be non-numeric
responses on each of these questions. Country specific categories for non-numeric responses
may also be recorded for these variables</t>
  </si>
  <si>
    <t>mv629</t>
  </si>
  <si>
    <t>Wife/partner is justified to refuse sexual intercourse when she know that:
BASE: All men.</t>
  </si>
  <si>
    <t>mv633*</t>
  </si>
  <si>
    <t>Husband has STD</t>
  </si>
  <si>
    <t>Husband has other women</t>
  </si>
  <si>
    <t>Recent birth</t>
  </si>
  <si>
    <t>Tired, mood</t>
  </si>
  <si>
    <t>Husband’s rights
The questions pertaining to MV634A to MV634D are no longer part of the DHS VII core
questionnaire, but the variables are kept in the DHS VII recode.</t>
  </si>
  <si>
    <t>mv634*</t>
  </si>
  <si>
    <t>Heard of Female Genital Cutting</t>
  </si>
  <si>
    <t>mg10*</t>
  </si>
  <si>
    <t>Benefits of circumcision</t>
  </si>
  <si>
    <t>mg11*</t>
  </si>
  <si>
    <t>Case identification uniquely identifies each household. In most surveys, this is constructed
by concatenating the cluster or sample point number and the household number, but in some
surveys this may be the questionnaire number taken from the front page of the questionnaire.</t>
  </si>
  <si>
    <t>hhid</t>
  </si>
  <si>
    <t>Alphabetic country code to identify the survey from which the data were collected. The code
is based on an international standard code. This variable is 3 characters in length, with the
third character indicating the format of the recode file used for this survey. For all surveys in
DHS VII following this standard, this code will be 7. For example: DR7 is the Dominican
Republic, HT7 is Haiti and KH7 is Cambodia.</t>
  </si>
  <si>
    <t>hv000</t>
  </si>
  <si>
    <t>Cluster number is the number identifying the sample point as used during the fieldwork.
This variable may be a composite of several variables in the questionnaire. If so, the nonstandard
variables are included in RECH3 as country-specific variables</t>
  </si>
  <si>
    <t>hv001</t>
  </si>
  <si>
    <t>Household number is the number identifying the household within the cluster or sample
point. In some cases, this variable may be the combination of dwelling number and
household number within dwelling. In these cases, the dwelling number is included as
country-specific variable.</t>
  </si>
  <si>
    <t>hv002</t>
  </si>
  <si>
    <t>Respondent's line number is the line number in the household schedule of the person
responding to the questions asked in the household questionnaire. If nobody in the
household was available for interview, this variable is coded 00.</t>
  </si>
  <si>
    <t>hv003</t>
  </si>
  <si>
    <t>Ultimate area unit is a number assigned to each sample point to identify the ultimate area
units used in the collection of data. This variable is usually the same as the cluster number,
but may be a sequentially numbered variable for samples with a more complicated structure.</t>
  </si>
  <si>
    <t>hv004</t>
  </si>
  <si>
    <t>Sample weight is an 8 digit variable with 6 implied decimal places. To use the sample
weight divide it by 1000000 before applying the weighting factor. All sample weights are
normalized such that the weighted number of cases is identical to the unweighted number of
households when using the full dataset with no selection. This variable should be used to
weight all tabulations produced using the data file. For self-weighting samples this variable
is equal to 1000000.</t>
  </si>
  <si>
    <t>hv005</t>
  </si>
  <si>
    <t>Month of the household interview</t>
  </si>
  <si>
    <t>hv006</t>
  </si>
  <si>
    <t>Year of the household interview</t>
  </si>
  <si>
    <t>hv007</t>
  </si>
  <si>
    <t>Century month code of date of interview, calculated from HV007 and HV006 (see note on
century month codes)</t>
  </si>
  <si>
    <t>hv008</t>
  </si>
  <si>
    <t>Century day code of date of interview, calculated from HV007, HV006 and HV016 (see note
on century day codes)</t>
  </si>
  <si>
    <t>hv008A</t>
  </si>
  <si>
    <t>Total number of household members indicates the number of entries to be found in RECH1.</t>
  </si>
  <si>
    <t>hv009</t>
  </si>
  <si>
    <t>Total number of de jure household members gives the number of household members that
usually live in the household.</t>
  </si>
  <si>
    <t>hv012</t>
  </si>
  <si>
    <t>Total number of de facto household members gives the number of household members that
slept in the household the previous night, including visitors.</t>
  </si>
  <si>
    <t>hv013</t>
  </si>
  <si>
    <t>Number of children resident in the household and aged 5 and under. Visiting children are
not included.</t>
  </si>
  <si>
    <t>hv014</t>
  </si>
  <si>
    <t>Day of the household interview</t>
  </si>
  <si>
    <t>hv016</t>
  </si>
  <si>
    <t>Number of visits for the household interview</t>
  </si>
  <si>
    <t>hv017</t>
  </si>
  <si>
    <t>Interviewer identification code. Codes are country-specific.</t>
  </si>
  <si>
    <t>hv018</t>
  </si>
  <si>
    <t>The ever-married sample indicator is a constant for all cases in the data file. For all woman
samples it is code 0, and for ever-married samples it is code 1.</t>
  </si>
  <si>
    <t>hv020</t>
  </si>
  <si>
    <t>hv021</t>
  </si>
  <si>
    <t>The sample strata for sampling errors defines the pairings or groupings of primary sampling
units used in the calculation of sampling errors when using the Taylor series expansion
method (for example, with the package Clusters).</t>
  </si>
  <si>
    <t>hv022</t>
  </si>
  <si>
    <t>The stratification used in the sample design defines the basic geographic units within which
the sample was designed. For example, if the sample was designed to be self-weighting
within region, this variable would define those regions; if the sample was designed to be selfweighting
within major urban areas, other urban areas and rural areas, this variable would
define the major urban, other urban and rural areas. If the sample is self-weighted at the
national level, this variable is code 0.</t>
  </si>
  <si>
    <t>hv023</t>
  </si>
  <si>
    <t>Region of residence in which the household resides. Codes are country-specific</t>
  </si>
  <si>
    <t>hv024</t>
  </si>
  <si>
    <t>Type of place of residence where the household resides as either urban or rural.</t>
  </si>
  <si>
    <t>hv025</t>
  </si>
  <si>
    <t>Size of place of residence is the type of place in which the household resides. Urban areas
are classified into large cities (capital cities and cities with over 1 million population), small
cities (population over 50,000), and towns (other urban areas), and all rural areas are
assumed to be countryside. This question is no longer part of the DHS VII core
questionnaire, but the variable is kept in the DHS VII recode.</t>
  </si>
  <si>
    <t>hv026</t>
  </si>
  <si>
    <t>Selection for men's or husband's survey indicates whether the household was selected for the
subset of households in which the men's or husband's survey was administered. Code 1
indicates a men’s survey and code 2 a husband's survey, while code 0 indicates the
household was not selected.</t>
  </si>
  <si>
    <t>hv027</t>
  </si>
  <si>
    <t>Sample weight for men's or husband's survey is an 8 digit variable with 6 implied decimal
places. To use the sample weight divide it by 1000000 before applying the weighting factor.
All sample weights are normalized such that the weighted number of cases is identical to the
unweighted number of households selected for the men's or husband's survey when using the
full dataset with no other selection. This variable should be used to weight all tabulations
produced using the households selected for the men's or husband's survey. For selfweighting
samples this variable is equal to 1000000. For households not included in the
men's or husband's survey sub-sample, this variable is set to zero</t>
  </si>
  <si>
    <t>hv028</t>
  </si>
  <si>
    <t>Cluster altitude in meters. Used to adjust the anemia measurement for altitude.</t>
  </si>
  <si>
    <t>hv040</t>
  </si>
  <si>
    <t>Household selected for the domestic violence module.</t>
  </si>
  <si>
    <t>hv044</t>
  </si>
  <si>
    <t>Language of the household questionnaire</t>
  </si>
  <si>
    <t>hv045a</t>
  </si>
  <si>
    <t>Language used in the household interview</t>
  </si>
  <si>
    <t>hv045b</t>
  </si>
  <si>
    <t>Native language of the household interview respondent</t>
  </si>
  <si>
    <t>hv045c</t>
  </si>
  <si>
    <t>Translator used during the household interview</t>
  </si>
  <si>
    <t>hv046</t>
  </si>
  <si>
    <t>The wealth index is a composite measure of a household's cumulative living standard.
The wealth index is calculated using easy-to-collect data on a household’s ownership of
selected assets, such as televisions and bicycles; materials used for housing construction; and
types of water access and sanitation facilities.
Generated with a statistical procedure known as principal components analysis, the wealth
index places individual households on a continuous scale of relative wealth. DHS separates
all interviewed households into five wealth quintiles to compare the influence of wealth on
various population, health and nutrition indicators. The wealth index is presented in the DHS
Final Reports and survey datasets as a background characteristic</t>
  </si>
  <si>
    <t>hv270</t>
  </si>
  <si>
    <t>Wealth index factor score (5 decimals)</t>
  </si>
  <si>
    <t>hv270a</t>
  </si>
  <si>
    <t>Wealth index for urban/rural. As a response to criticism that a single wealth index (as
provided by HV270 and HV271) is too urban in its construction and not able to distinguish
the poorest of the poor from other poor households, this variable provides an urban- and
rural-specific wealth index.</t>
  </si>
  <si>
    <t>hv271</t>
  </si>
  <si>
    <t>Wealth index factor score for urban/rural (5 decimals)</t>
  </si>
  <si>
    <t>hv271a</t>
  </si>
  <si>
    <t>For household assets</t>
  </si>
  <si>
    <t>hv2*</t>
  </si>
  <si>
    <t>Generally not required but sometines you need to recreate the wealth index and then it might be useful</t>
  </si>
  <si>
    <t>Has a mobile phone</t>
  </si>
  <si>
    <t>hv243a</t>
  </si>
  <si>
    <t>Women's file</t>
  </si>
  <si>
    <t>CASEID</t>
  </si>
  <si>
    <t>Alphabetic country code to identify the survey from which the data were collected. The code
is based on an international standard code. This variable is 3 characters in length, with the
third character indicating the format of the recode file used for this survey. For all surveys in
DHS VII this code will be 7. For example: BJ7 is Benin, KH7 is Cambodia, CO7 is
Colombia.</t>
  </si>
  <si>
    <t>v000</t>
  </si>
  <si>
    <t>Cluster number is the number identifying the sample point as used during the fieldwork.
This variable may be a composite of several variables in the questionnaire. If so, the original
variables are included in REC91 as country-specific variables.</t>
  </si>
  <si>
    <t>v001</t>
  </si>
  <si>
    <t>v002</t>
  </si>
  <si>
    <t>v003</t>
  </si>
  <si>
    <t>v004</t>
  </si>
  <si>
    <t>v005</t>
  </si>
  <si>
    <t>Month of the individual interview</t>
  </si>
  <si>
    <t>v006</t>
  </si>
  <si>
    <t>Year of the individual interview</t>
  </si>
  <si>
    <t>v007</t>
  </si>
  <si>
    <t>Century month code of date of interview, calculated from V007 and V008 (see note on
century month codes)</t>
  </si>
  <si>
    <t>v008</t>
  </si>
  <si>
    <t>Century day code of date of interview, calculated from V007, V008 and V016 (see note on
century day codes)</t>
  </si>
  <si>
    <t>v008a</t>
  </si>
  <si>
    <t>v009</t>
  </si>
  <si>
    <t>Year of birth of respondent (see note on imputed dates)</t>
  </si>
  <si>
    <t>v010</t>
  </si>
  <si>
    <t>Century month code of date of birth of the respondent (see note on century month codes and
on imputed dates).</t>
  </si>
  <si>
    <t>v011</t>
  </si>
  <si>
    <t>Current age in completed years is calculated from the century month code of the date of birth
of the respondent (V011) and the century month code of the date of interview (V008). In a
few cases the age in the data file will be different from that reported by the respondent when
the respondent's birthday was in the month of interview, but she had not yet had her birthday.
If the respondent correctly reported her age at her last birthday (and not her age at her next
birthday) then the calculated age was rounded up from the reported age, to avoid
inconsistencies between the age and the century month code for the birth.</t>
  </si>
  <si>
    <t>v012</t>
  </si>
  <si>
    <t>Completeness of information for the date of birth of the respondent (see note on imputed
dates)</t>
  </si>
  <si>
    <t>v014</t>
  </si>
  <si>
    <t>v020</t>
  </si>
  <si>
    <t>v021</t>
  </si>
  <si>
    <t>v022</t>
  </si>
  <si>
    <t>v023</t>
  </si>
  <si>
    <t>De facto region of residence is a copy of V101, added to this section to allow for analysis of
completion rates by region.</t>
  </si>
  <si>
    <t>v024</t>
  </si>
  <si>
    <t>De facto type of place of residence is a copy of V102, added to this section to allow for
analysis of completion rates by urban/rural residence.</t>
  </si>
  <si>
    <t>v025</t>
  </si>
  <si>
    <t>Number of visits for the interview is a copy of V804.</t>
  </si>
  <si>
    <t>v027</t>
  </si>
  <si>
    <t>V028 Interviewer identification code is a copy of V805. Codes are country-specific. This variable
now occupies 5 digits.</t>
  </si>
  <si>
    <t>v028</t>
  </si>
  <si>
    <t>Line number of husband as recorded in the household schedule. This variable can be used,
in conjunction with the cluster or sample point number and the household number to match
the women's data with the husbands' data, to allow for the analysis of couples.</t>
  </si>
  <si>
    <t>v034</t>
  </si>
  <si>
    <t>Cluster altitude in meters used to adjust the anemia level</t>
  </si>
  <si>
    <t>v040</t>
  </si>
  <si>
    <t>Selection for domestic violence module. This variable is set to not applicable in case there is
no domestic violence module.</t>
  </si>
  <si>
    <t>v044</t>
  </si>
  <si>
    <t>Language of the questionnaire codes are country-specific</t>
  </si>
  <si>
    <t>v045a</t>
  </si>
  <si>
    <t>Language of the interview codes are country-specific</t>
  </si>
  <si>
    <t>v045b</t>
  </si>
  <si>
    <t>Native language of the respondent codes are country specific</t>
  </si>
  <si>
    <t>v045c</t>
  </si>
  <si>
    <t>Translator used in the interview</t>
  </si>
  <si>
    <t>v046</t>
  </si>
  <si>
    <t>Province, region or state codes of residence before respondent moved to current place of
residence are country specific.</t>
  </si>
  <si>
    <t>v105a</t>
  </si>
  <si>
    <t>De facto region of residence. Region in which the respondent was interviewed. Codes are
country-specific. For de jure region of residence, see V139.</t>
  </si>
  <si>
    <t>v101</t>
  </si>
  <si>
    <t>De facto type of place of residence. Type of place of residence where the respondent was
interviewed as either urban or rural. Note that this is not the respondent's own
categorization, but was created based on whether the cluster or sample point number is
defined as urban or rural. See also V134. For de jure type of place of residence, see V140.</t>
  </si>
  <si>
    <t>v102</t>
  </si>
  <si>
    <t>Number of years the respondent has lived in the village, town, or city where she was
interviewed. Visitors to the community are coded 96.</t>
  </si>
  <si>
    <t>v104</t>
  </si>
  <si>
    <t>Previous residence
BASE: For V105 and V105A is all respondents except those answering "Always" or
"Visitor" to V104 (V104 &lt;&gt; 95 &amp; V104 &lt;&gt; 96).</t>
  </si>
  <si>
    <t>Type of place of previous residence is coded as for V103. In some countries, additional
codes are used for capital/major cities (code 0) and for abroad (code 4).</t>
  </si>
  <si>
    <t>v105</t>
  </si>
  <si>
    <t>Highest education level attended. This is a standardized variable providing level of
education in the following categories: No education, Primary, Secondary, and Higher. In
some countries the educational system does not fit naturally within this scheme and a
different categorization was used for the Final Report. In this case, this variable is
constructed as accurately as possible from the country's own scheme and the variable used
for the Final Report is included as a country-specific variable.</t>
  </si>
  <si>
    <t>v106</t>
  </si>
  <si>
    <t>Highest year of education gives the years of education completed at the level given in V106.
BASE: All respondents except those answering "No education" or with missing data for
V106 (V106 &lt;&gt; 0 &amp; V106 &lt;&gt; 9).</t>
  </si>
  <si>
    <t>v107</t>
  </si>
  <si>
    <t>Required for household and individual level controls</t>
  </si>
  <si>
    <t>v1*</t>
  </si>
  <si>
    <t>Total number of children ever born. If there are fewer than twenty births then this is the
same as V224 (Number of entries in the birth history), but if there are more than twenty
births then this gives the full number, while V224 will be 20.</t>
  </si>
  <si>
    <t>v201</t>
  </si>
  <si>
    <t>v202</t>
  </si>
  <si>
    <t>v203</t>
  </si>
  <si>
    <t>v204</t>
  </si>
  <si>
    <t>v205</t>
  </si>
  <si>
    <t>v206</t>
  </si>
  <si>
    <t>Total number of daughters who have died
V201 is the sum of variables V202 to V207</t>
  </si>
  <si>
    <t>v207</t>
  </si>
  <si>
    <t>Age of the respondent at first birth is calculated from the CMC of the date of first birth and
the CMC of the date of birth of the respondent.
BASE: All respondents with one or more births (V201 &gt; 0).</t>
  </si>
  <si>
    <t>v212</t>
  </si>
  <si>
    <t>Whether the respondent is currently pregnant.</t>
  </si>
  <si>
    <t>v213</t>
  </si>
  <si>
    <t>Imputed duration of the current pregnancy. In the imputation process a date of conception of
the current pregnancy is calculated from the reported duration of the current pregnancy, if
known, or imputed from other available information (see note on imputed dates). The
imputed duration of pregnancy is then calculated from that date of conception.
BASE: Currently pregnant women (V213 = 1).</t>
  </si>
  <si>
    <t>v214</t>
  </si>
  <si>
    <t>Total number of living children is the sum of variables V202 to V205.</t>
  </si>
  <si>
    <t>v218</t>
  </si>
  <si>
    <t>Total number of living children including current pregnancy is calculated from V218 by
adding 1 if the respondent is pregnant.</t>
  </si>
  <si>
    <t>v219</t>
  </si>
  <si>
    <t>Whether the respondent ever had a pregnancy that terminated in a miscarriage, abortion, or
still birth, i.e., did not result in a live birth.</t>
  </si>
  <si>
    <t>v228</t>
  </si>
  <si>
    <t>Tobacco Use
BASE: The base for tobacco use variables V463A through V63AB is all respondents.
Type of tobacco the respondent currently smokes:</t>
  </si>
  <si>
    <t>v463*</t>
  </si>
  <si>
    <t>Number of cigarettes in last 24 hours
BASE: Respondents smoking cigarettes every day (V463AA = 1).</t>
  </si>
  <si>
    <t>v464</t>
  </si>
  <si>
    <t>Health insurance related variables</t>
  </si>
  <si>
    <t>v481*</t>
  </si>
  <si>
    <t>Current marital status of the respondent</t>
  </si>
  <si>
    <t>v501</t>
  </si>
  <si>
    <t>Whether the respondent is currently, formerly or never married (or lived with a partner).
Currently married includes married women and women living with a partner, and formerly
married includes widowed, divorced, separated women and women who have lived with a
partner but are not now living with a partner.</t>
  </si>
  <si>
    <t>v502</t>
  </si>
  <si>
    <t>Whether the respondent has been married or lived with a man once or more than once.
BASE: Ever-married women (V501 &lt;&gt; 0).</t>
  </si>
  <si>
    <t>v503</t>
  </si>
  <si>
    <t>Whether the partner lives in the household or is now living elsewhere.
BASE: Currently married or in union women (V502 = 1).</t>
  </si>
  <si>
    <t>v504</t>
  </si>
  <si>
    <t>Whether the respondent is in a polygynous union and the number of other wives the
respondent's partner currently has.
BASE: Currently married or in union women (V502 = 1).</t>
  </si>
  <si>
    <t>v505</t>
  </si>
  <si>
    <t>The rank of the respondent among the partner's wives.
BASE: Currently married or in union women in a polygynous union (V502 = 1 and V505 &gt;
0).</t>
  </si>
  <si>
    <t>v506</t>
  </si>
  <si>
    <t>First marriage or union
Variables V507 to V513 relate to the date of start of the first marriage or union.</t>
  </si>
  <si>
    <t>v507</t>
  </si>
  <si>
    <t>Year of start of first marriage or union (see note on imputed dates). This variable now
occupies 4 digits.</t>
  </si>
  <si>
    <t>v508</t>
  </si>
  <si>
    <t>Month of start of first marriage or union (see note on imputed dates)</t>
  </si>
  <si>
    <t>Age at start of first marriage or union is calculated from the century month code of the date
of start of first marriage or union and the century month code of the date of birth of the
respondent.</t>
  </si>
  <si>
    <t>v511</t>
  </si>
  <si>
    <t>Years since start of first marriage or union is calculated from the century month code of the
start of first marriage or union and the century month code of the date of interview.</t>
  </si>
  <si>
    <t>v512</t>
  </si>
  <si>
    <t>Marital duration is actually the number of years elapsed since the start of the first marriage or
union until the date of interview grouped into five-year groups, irrespective of whether the
respondent is still married to her first partner.</t>
  </si>
  <si>
    <t>v513</t>
  </si>
  <si>
    <t>V525 Age at first sexual intercourse. Respondents who had never had sex are coded 0. The
response category "First sexual intercourse at first union" has been added in DHS III.</t>
  </si>
  <si>
    <t>v525</t>
  </si>
  <si>
    <t>Age at first sexual intercourse - imputed. This is the same as V525, except for respondents
who reported that their first sexual intercourse was at the time of their union. For these
cases, the age at first sex is taken from the age at first union. In cases where the age at first
sex was inconsistent with the age at conception of the first child, but only by one year (V532
= 3), the age at first sex was reduced by one year, consistent with the "Rule of one" applied in DHS I. Other cases flagged as inconsistent on variable V532 (codes 1, 2, 4, 5) are recoded
as 97 (inconsistent). Cases coded 6 on V532 are not changed.</t>
  </si>
  <si>
    <t>v531</t>
  </si>
  <si>
    <t>Whether the respondent has ever been married or lived with a man.
BASE: Women who are not currently married and not living with a man (V502 &lt;&gt; 1).</t>
  </si>
  <si>
    <t>v535</t>
  </si>
  <si>
    <t>The “Fertility preferences” come primarily from a single question in the DHS V and DHS
VII questionnaires. Women who respond that they want another child, but when asked when
they would like the next child, respond that they cannot get pregnant, are classified in the
"declared infecund category", and not in the "Wants another" category. These women can be
identified in variable V616, where the original response to the question asking how long they
would like to wait before having another child is recorded. In some countries, women who
had never had sexual intercourse were not asked the questions relating to desire for future
children, and are coded 6 on V602.
BASE: All women.</t>
  </si>
  <si>
    <t>v602</t>
  </si>
  <si>
    <t>The ideal number of children that the respondent would have liked to have in her whole life,
irrespective of the number she already has. In many countries it was possible for a
respondent to reply to this question with a range of values, in which case this variable
contains the midpoint between these values. If the midpoint is not an exact number then the
number is rounded up in half the cases and rounded down for the other half. In situations
where a range of values was collected, the original variables are included as country-specific
variables. In some countries, additional country-specific categories are included, such as "It
depends on God" or "As many as I can support" and are given country-specific codes.
BASE: All women.</t>
  </si>
  <si>
    <t>v613</t>
  </si>
  <si>
    <t>v627</t>
  </si>
  <si>
    <t>v628</t>
  </si>
  <si>
    <t>Ideal number of either sex
These three variables should sum to the total ideal number of children given in variables
V613. If the response to the question for variables V613 is a non-numeric response, these
variables are coded with the same response. In addition, there may be non-numeric
responses on each of these questions. Country specific categories for non-numeric responses
may also be recorded for these variables.
BASE: All women.</t>
  </si>
  <si>
    <t>v629</t>
  </si>
  <si>
    <t>The current or most recent husband or partner's highest level of education attended. See
variable V106.
BASE: Currently married or in union women (V502 = 1).</t>
  </si>
  <si>
    <t>v701</t>
  </si>
  <si>
    <t>"Highest year of education gives the years of education completed at the level given in V701.
BASE: Currently married or in union women except those answering ""No education"" or
with missing data for V701 (V502 = 1 and V701 &lt;&gt; 0 and V701 &lt;&gt; 8 and V701 &lt;&gt; 9)."</t>
  </si>
  <si>
    <t>v702</t>
  </si>
  <si>
    <t>Current or last husband or partner's most recent occupation as collected in the country.
Codes are country-specific.
BASE: Currently married or in union women (V502 = 1).</t>
  </si>
  <si>
    <t>v704</t>
  </si>
  <si>
    <t>Current or last husband or partner worked in the past 7 days or 12 months
BASE: Currently married or in union women (V502 = 1).</t>
  </si>
  <si>
    <t>v704a</t>
  </si>
  <si>
    <t>Standardized partner's occupation groups. Agricultural categories also include fishermen,
foresters and hunters and are not the basis for selection of agricultural/non-agricultural
workers for the variables that follow. This selection is based on a country specific coding
scheme in variable V704. In countries, where it is not possible to differentiate between selfemployed
agricultural workers and agricultural employees, no attempt has been made to use
other information, and code 4 has been used for both categories. The analyst may wish to
use other related information to differentiate between these two categories.
BASE: Currently married or in union women (V502 = 1).</t>
  </si>
  <si>
    <t>v705</t>
  </si>
  <si>
    <t>V729 Educational achievement recodes the education of the partner into the following categories:
None, incomplete primary, complete primary, incomplete secondary, complete secondary,
higher education, unknown level of education. If the grade within a level is unknown, it is
assumed that the level was not completed. See related variables V702, V703, V715.
BASE: Currently married or in union women (V502 = 1).</t>
  </si>
  <si>
    <t>v729</t>
  </si>
  <si>
    <t>Age of the respondent's husband or partner.
BASE: Currently married or in union women (V502 = 1).</t>
  </si>
  <si>
    <t>v730</t>
  </si>
  <si>
    <t>Presence of other people during the interview of the husband’s background and woman’s
work section of the interview
BASE: For V811 to V814 is all women.</t>
  </si>
  <si>
    <t>Presence of children aged under age 10</t>
  </si>
  <si>
    <t>v811</t>
  </si>
  <si>
    <t>Presence of the husband</t>
  </si>
  <si>
    <t>v812</t>
  </si>
  <si>
    <t>Presence of other males</t>
  </si>
  <si>
    <t>v813</t>
  </si>
  <si>
    <t>Presence of other females</t>
  </si>
  <si>
    <t>v814</t>
  </si>
  <si>
    <t>Presence of other people during the sexual activity section of the interview
BASE: For V815A to V815C is all women.</t>
  </si>
  <si>
    <t>v815*</t>
  </si>
  <si>
    <t>Female genital cutting</t>
  </si>
  <si>
    <t>g10*</t>
  </si>
  <si>
    <t>g11*</t>
  </si>
  <si>
    <t>Countries currently in the DHS sample for which coverage has been calculated</t>
  </si>
  <si>
    <t>Variable</t>
  </si>
  <si>
    <t>Variable name</t>
  </si>
  <si>
    <t>sample strate for sampling error</t>
  </si>
  <si>
    <t>stratification used  in sample design</t>
  </si>
  <si>
    <t>region of previous residence</t>
  </si>
  <si>
    <t>v113</t>
  </si>
  <si>
    <t>source of drinking water</t>
  </si>
  <si>
    <t>v116</t>
  </si>
  <si>
    <t>type of toilet facility</t>
  </si>
  <si>
    <t>v127</t>
  </si>
  <si>
    <t>main floor material</t>
  </si>
  <si>
    <t>v128</t>
  </si>
  <si>
    <t>main wall material</t>
  </si>
  <si>
    <t>v129</t>
  </si>
  <si>
    <t>main roof material</t>
  </si>
  <si>
    <t>v130</t>
  </si>
  <si>
    <t>religion</t>
  </si>
  <si>
    <t>v131</t>
  </si>
  <si>
    <t>ethnicity</t>
  </si>
  <si>
    <t>v139</t>
  </si>
  <si>
    <t>de jure residence</t>
  </si>
  <si>
    <t>husband occupation grouped</t>
  </si>
  <si>
    <t>respondent's occupation grouped</t>
  </si>
  <si>
    <t>DHS Survey Weights, if required</t>
  </si>
  <si>
    <t>For some robustness</t>
  </si>
  <si>
    <t>Control Variable</t>
  </si>
  <si>
    <t>Outcome variable</t>
  </si>
  <si>
    <t>Outcome Variable</t>
  </si>
  <si>
    <t>As a control or for wealth index</t>
  </si>
  <si>
    <t>Potential use</t>
  </si>
  <si>
    <t>* More variables can be added here as and when required</t>
  </si>
  <si>
    <t>dhscc</t>
  </si>
  <si>
    <t>dhsyear</t>
  </si>
  <si>
    <t>Critical variables for merging dhs files and coverage maps</t>
  </si>
  <si>
    <t>Note: It would be good to keep other identifiers for household, admn1, admn2 etc as they might be useful at a later stage.</t>
  </si>
  <si>
    <t>ACLED (Conflict database)</t>
  </si>
  <si>
    <t>https://onlinelibrary.wiley.com/doi/full/10.3982/ECTA14392</t>
  </si>
  <si>
    <t>https://www.sciencedirect.com/science/article/pii/S0167268123001580</t>
  </si>
  <si>
    <t xml:space="preserve">References: </t>
  </si>
  <si>
    <t>Fluckiger and Ludwig (2023)</t>
  </si>
  <si>
    <t>https://academic.oup.com/qje/article/136/4/2533/6039350</t>
  </si>
  <si>
    <t>Guriev et al (2021)</t>
  </si>
  <si>
    <t>WorldPop</t>
  </si>
  <si>
    <t>https://search.earthdata.nasa.gov/search/granules?portal=ghrc&amp;p=C1995863244-GHRC_DAAC&amp;pg[0][v]=f&amp;pg[0][gsk]=-start_date&amp;q=Lightning%20Products&amp;tl=1722520226.631!3!!</t>
  </si>
  <si>
    <t>Let's prioritize this after WorldPop ones: GHRC's lightning flash rates runs from 1995 to 2015, but then is discontinued. What's the best to continue/approximate this lightning flash rate intensity for later periods, post-2015? Please check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</si>
</sst>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0"/>
      <color theme="1"/>
      <name val="Arial"/>
      <family val="2"/>
      <scheme val="minor"/>
    </font>
    <font>
      <sz val="10"/>
      <name val="Arial"/>
      <family val="2"/>
    </font>
    <font>
      <sz val="11"/>
      <color rgb="FF000000"/>
      <name val="Arial"/>
      <family val="2"/>
    </font>
    <font>
      <sz val="11"/>
      <color rgb="FF000000"/>
      <name val="Monospace"/>
    </font>
    <font>
      <sz val="10"/>
      <color theme="1"/>
      <name val="Arial"/>
      <family val="2"/>
      <scheme val="minor"/>
    </font>
    <font>
      <sz val="10"/>
      <color rgb="FF000000"/>
      <name val="Arial"/>
      <family val="2"/>
      <scheme val="minor"/>
    </font>
    <font>
      <b/>
      <sz val="12"/>
      <color theme="1"/>
      <name val="Calibri"/>
      <family val="2"/>
    </font>
    <font>
      <b/>
      <sz val="11"/>
      <color theme="1"/>
      <name val="Arial"/>
      <family val="2"/>
      <scheme val="minor"/>
    </font>
    <font>
      <b/>
      <sz val="11"/>
      <color theme="1"/>
      <name val="Helvetica"/>
      <family val="2"/>
    </font>
    <font>
      <b/>
      <sz val="12"/>
      <color rgb="FF000000"/>
      <name val="Aptos Narrow"/>
    </font>
    <font>
      <sz val="12"/>
      <color rgb="FF000000"/>
      <name val="Aptos Narrow"/>
      <family val="2"/>
    </font>
    <font>
      <b/>
      <sz val="10"/>
      <color rgb="FF000000"/>
      <name val="Arial"/>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6"/>
        <bgColor indexed="64"/>
      </patternFill>
    </fill>
  </fills>
  <borders count="1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slantDashDot">
        <color auto="1"/>
      </left>
      <right style="slantDashDot">
        <color auto="1"/>
      </right>
      <top style="slantDashDot">
        <color auto="1"/>
      </top>
      <bottom style="slantDashDot">
        <color auto="1"/>
      </bottom>
      <diagonal/>
    </border>
    <border>
      <left/>
      <right/>
      <top/>
      <bottom style="medium">
        <color indexed="64"/>
      </bottom>
      <diagonal/>
    </border>
  </borders>
  <cellStyleXfs count="1">
    <xf numFmtId="0" fontId="0" fillId="0" borderId="0"/>
  </cellStyleXfs>
  <cellXfs count="43">
    <xf numFmtId="0" fontId="0" fillId="0" borderId="0" xfId="0"/>
    <xf numFmtId="0" fontId="1" fillId="0" borderId="0" xfId="0" applyFont="1" applyAlignment="1">
      <alignment horizontal="center"/>
    </xf>
    <xf numFmtId="0" fontId="1" fillId="0" borderId="4" xfId="0" applyFont="1" applyBorder="1" applyAlignment="1">
      <alignment horizontal="center"/>
    </xf>
    <xf numFmtId="0" fontId="3" fillId="0" borderId="4" xfId="0" applyFont="1" applyBorder="1" applyAlignment="1">
      <alignment horizontal="left" wrapText="1"/>
    </xf>
    <xf numFmtId="0" fontId="4" fillId="0" borderId="4" xfId="0" applyFont="1" applyBorder="1" applyAlignment="1">
      <alignment horizontal="left" wrapText="1"/>
    </xf>
    <xf numFmtId="0" fontId="4" fillId="0" borderId="0" xfId="0" applyFont="1" applyAlignment="1">
      <alignment horizontal="left" wrapText="1"/>
    </xf>
    <xf numFmtId="0" fontId="5" fillId="0" borderId="4" xfId="0" applyFont="1" applyBorder="1"/>
    <xf numFmtId="0" fontId="4" fillId="0" borderId="0" xfId="0" quotePrefix="1" applyFont="1" applyAlignment="1">
      <alignment horizontal="left" wrapText="1"/>
    </xf>
    <xf numFmtId="0" fontId="1" fillId="0" borderId="4" xfId="0" applyFont="1" applyBorder="1"/>
    <xf numFmtId="0" fontId="6" fillId="0" borderId="0" xfId="0" applyFont="1"/>
    <xf numFmtId="0" fontId="3" fillId="0" borderId="0" xfId="0" applyFont="1" applyAlignment="1">
      <alignment horizontal="left" wrapText="1"/>
    </xf>
    <xf numFmtId="0" fontId="5" fillId="0" borderId="0" xfId="0" applyFont="1"/>
    <xf numFmtId="0" fontId="6" fillId="0" borderId="5" xfId="0" applyFont="1" applyBorder="1"/>
    <xf numFmtId="0" fontId="6" fillId="0" borderId="6" xfId="0" applyFont="1" applyBorder="1"/>
    <xf numFmtId="0" fontId="6" fillId="0" borderId="7" xfId="0" applyFont="1" applyBorder="1"/>
    <xf numFmtId="0" fontId="7" fillId="0" borderId="8" xfId="0" applyFont="1" applyBorder="1"/>
    <xf numFmtId="0" fontId="0" fillId="0" borderId="0" xfId="0" applyAlignment="1">
      <alignment wrapText="1"/>
    </xf>
    <xf numFmtId="0" fontId="7" fillId="0" borderId="8" xfId="0" applyFont="1" applyBorder="1" applyAlignment="1">
      <alignment wrapText="1"/>
    </xf>
    <xf numFmtId="0" fontId="8" fillId="2" borderId="0" xfId="0" applyFont="1" applyFill="1"/>
    <xf numFmtId="0" fontId="8" fillId="3" borderId="0" xfId="0" applyFont="1" applyFill="1"/>
    <xf numFmtId="0" fontId="8" fillId="0" borderId="0" xfId="0" applyFont="1"/>
    <xf numFmtId="0" fontId="8" fillId="0" borderId="0" xfId="0" applyFont="1" applyAlignment="1">
      <alignment wrapText="1"/>
    </xf>
    <xf numFmtId="0" fontId="8" fillId="4" borderId="0" xfId="0" applyFont="1" applyFill="1" applyAlignment="1">
      <alignment wrapText="1"/>
    </xf>
    <xf numFmtId="0" fontId="0" fillId="4" borderId="0" xfId="0" applyFill="1"/>
    <xf numFmtId="0" fontId="9" fillId="0" borderId="0" xfId="0" applyFont="1"/>
    <xf numFmtId="0" fontId="0" fillId="2" borderId="0" xfId="0" applyFill="1"/>
    <xf numFmtId="0" fontId="8" fillId="4" borderId="0" xfId="0" applyFont="1" applyFill="1"/>
    <xf numFmtId="0" fontId="8" fillId="3" borderId="0" xfId="0" applyFont="1" applyFill="1" applyAlignment="1">
      <alignment wrapText="1"/>
    </xf>
    <xf numFmtId="0" fontId="10" fillId="0" borderId="0" xfId="0" applyFont="1"/>
    <xf numFmtId="0" fontId="11" fillId="0" borderId="0" xfId="0" applyFont="1"/>
    <xf numFmtId="0" fontId="12" fillId="0" borderId="0" xfId="0" applyFont="1"/>
    <xf numFmtId="0" fontId="0" fillId="3" borderId="0" xfId="0" applyFill="1" applyAlignment="1">
      <alignment wrapText="1"/>
    </xf>
    <xf numFmtId="0" fontId="0" fillId="3" borderId="0" xfId="0" applyFill="1"/>
    <xf numFmtId="0" fontId="6" fillId="0" borderId="0" xfId="0" applyFont="1" applyAlignment="1">
      <alignment wrapText="1"/>
    </xf>
    <xf numFmtId="0" fontId="0" fillId="5" borderId="0" xfId="0" applyFill="1" applyAlignment="1">
      <alignment wrapText="1"/>
    </xf>
    <xf numFmtId="0" fontId="0" fillId="5" borderId="0" xfId="0" applyFill="1"/>
    <xf numFmtId="0" fontId="6" fillId="5" borderId="0" xfId="0" applyFont="1" applyFill="1"/>
    <xf numFmtId="0" fontId="6" fillId="3" borderId="0" xfId="0" applyFont="1" applyFill="1"/>
    <xf numFmtId="0" fontId="6"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xf>
    <xf numFmtId="0" fontId="2" fillId="0" borderId="3" xfId="0" applyFont="1" applyBorder="1"/>
    <xf numFmtId="0" fontId="2"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57DA5-BCA0-0C43-9CD4-CC725C7D3D48}">
  <dimension ref="A1:C18"/>
  <sheetViews>
    <sheetView tabSelected="1" zoomScale="192" zoomScaleNormal="192" workbookViewId="0">
      <selection activeCell="C7" sqref="C7"/>
    </sheetView>
  </sheetViews>
  <sheetFormatPr baseColWidth="10" defaultRowHeight="13"/>
  <cols>
    <col min="3" max="3" width="24.83203125" customWidth="1"/>
  </cols>
  <sheetData>
    <row r="1" spans="1:3" ht="54" customHeight="1" thickBot="1">
      <c r="A1" s="38" t="s">
        <v>771</v>
      </c>
      <c r="B1" s="39"/>
      <c r="C1" s="39"/>
    </row>
    <row r="2" spans="1:3" ht="14" thickBot="1">
      <c r="A2" s="12" t="s">
        <v>49</v>
      </c>
      <c r="B2" s="13" t="s">
        <v>50</v>
      </c>
      <c r="C2" s="14" t="s">
        <v>56</v>
      </c>
    </row>
    <row r="3" spans="1:3" ht="15">
      <c r="A3" s="10" t="s">
        <v>10</v>
      </c>
      <c r="B3" s="9" t="s">
        <v>51</v>
      </c>
      <c r="C3" s="9" t="s">
        <v>1</v>
      </c>
    </row>
    <row r="4" spans="1:3" ht="15">
      <c r="A4" s="5" t="s">
        <v>11</v>
      </c>
      <c r="B4" s="9" t="s">
        <v>52</v>
      </c>
      <c r="C4" s="9" t="s">
        <v>1</v>
      </c>
    </row>
    <row r="5" spans="1:3" ht="15">
      <c r="A5" s="5" t="s">
        <v>14</v>
      </c>
      <c r="B5" s="9" t="s">
        <v>53</v>
      </c>
      <c r="C5" s="9" t="s">
        <v>1</v>
      </c>
    </row>
    <row r="6" spans="1:3" ht="15">
      <c r="A6" s="5" t="s">
        <v>17</v>
      </c>
      <c r="B6" s="9" t="s">
        <v>54</v>
      </c>
      <c r="C6" s="9" t="s">
        <v>1</v>
      </c>
    </row>
    <row r="7" spans="1:3" ht="15">
      <c r="A7" s="5" t="s">
        <v>19</v>
      </c>
      <c r="B7" s="9" t="s">
        <v>55</v>
      </c>
      <c r="C7" s="9" t="s">
        <v>1</v>
      </c>
    </row>
    <row r="8" spans="1:3">
      <c r="A8" s="11"/>
    </row>
    <row r="9" spans="1:3" ht="15">
      <c r="A9" s="5" t="s">
        <v>9</v>
      </c>
      <c r="B9">
        <v>2017</v>
      </c>
      <c r="C9" s="9" t="s">
        <v>57</v>
      </c>
    </row>
    <row r="10" spans="1:3" ht="15">
      <c r="A10" s="5" t="s">
        <v>11</v>
      </c>
      <c r="B10">
        <v>2014</v>
      </c>
      <c r="C10" s="9" t="s">
        <v>57</v>
      </c>
    </row>
    <row r="11" spans="1:3" ht="15">
      <c r="A11" s="5" t="s">
        <v>14</v>
      </c>
      <c r="B11">
        <v>2014</v>
      </c>
      <c r="C11" s="9" t="s">
        <v>57</v>
      </c>
    </row>
    <row r="12" spans="1:3" ht="15">
      <c r="A12" s="5" t="s">
        <v>16</v>
      </c>
      <c r="B12">
        <v>2019</v>
      </c>
      <c r="C12" s="9" t="s">
        <v>57</v>
      </c>
    </row>
    <row r="13" spans="1:3" ht="15">
      <c r="A13" s="5" t="s">
        <v>17</v>
      </c>
      <c r="B13">
        <v>2014</v>
      </c>
      <c r="C13" s="9" t="s">
        <v>57</v>
      </c>
    </row>
    <row r="14" spans="1:3" ht="15">
      <c r="A14" s="5" t="s">
        <v>20</v>
      </c>
      <c r="B14">
        <v>2015</v>
      </c>
      <c r="C14" s="9" t="s">
        <v>57</v>
      </c>
    </row>
    <row r="15" spans="1:3" ht="15">
      <c r="A15" s="5" t="s">
        <v>19</v>
      </c>
      <c r="B15">
        <v>2018</v>
      </c>
      <c r="C15" s="9" t="s">
        <v>57</v>
      </c>
    </row>
    <row r="16" spans="1:3" ht="15">
      <c r="A16" s="5" t="s">
        <v>24</v>
      </c>
      <c r="B16">
        <v>2014</v>
      </c>
      <c r="C16" s="9" t="s">
        <v>57</v>
      </c>
    </row>
    <row r="17" spans="1:3" ht="30">
      <c r="A17" s="5" t="s">
        <v>26</v>
      </c>
      <c r="B17">
        <v>2016</v>
      </c>
      <c r="C17" s="9" t="s">
        <v>57</v>
      </c>
    </row>
    <row r="18" spans="1:3" ht="15">
      <c r="A18" s="5" t="s">
        <v>31</v>
      </c>
      <c r="B18">
        <v>2015</v>
      </c>
      <c r="C18" s="9" t="s">
        <v>57</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37"/>
  <sheetViews>
    <sheetView workbookViewId="0">
      <selection activeCell="H38" sqref="H38"/>
    </sheetView>
  </sheetViews>
  <sheetFormatPr baseColWidth="10" defaultColWidth="12.6640625" defaultRowHeight="15.75" customHeight="1"/>
  <sheetData>
    <row r="1" spans="1:16" ht="15.75" customHeight="1">
      <c r="B1" s="1"/>
      <c r="C1" s="1"/>
      <c r="D1" s="1"/>
      <c r="E1" s="1"/>
      <c r="G1" s="1"/>
      <c r="H1" s="1"/>
      <c r="I1" s="1"/>
      <c r="J1" s="1"/>
    </row>
    <row r="2" spans="1:16" ht="15.75" customHeight="1">
      <c r="B2" s="40" t="s">
        <v>0</v>
      </c>
      <c r="C2" s="42"/>
      <c r="D2" s="42"/>
      <c r="E2" s="41"/>
      <c r="G2" s="40" t="s">
        <v>1</v>
      </c>
      <c r="H2" s="42"/>
      <c r="I2" s="42"/>
      <c r="J2" s="41"/>
    </row>
    <row r="3" spans="1:16" ht="15.75" customHeight="1">
      <c r="A3" s="1"/>
      <c r="B3" s="40" t="s">
        <v>2</v>
      </c>
      <c r="C3" s="41"/>
      <c r="D3" s="40" t="s">
        <v>3</v>
      </c>
      <c r="E3" s="41"/>
      <c r="G3" s="40" t="s">
        <v>2</v>
      </c>
      <c r="H3" s="41"/>
      <c r="I3" s="40" t="s">
        <v>3</v>
      </c>
      <c r="J3" s="41"/>
    </row>
    <row r="4" spans="1:16" ht="15.75" customHeight="1">
      <c r="A4" s="1"/>
      <c r="B4" s="2" t="s">
        <v>4</v>
      </c>
      <c r="C4" s="2" t="s">
        <v>5</v>
      </c>
      <c r="D4" s="2" t="s">
        <v>4</v>
      </c>
      <c r="E4" s="2" t="s">
        <v>5</v>
      </c>
      <c r="G4" s="2" t="s">
        <v>4</v>
      </c>
      <c r="H4" s="2" t="s">
        <v>5</v>
      </c>
      <c r="I4" s="2" t="s">
        <v>4</v>
      </c>
      <c r="J4" s="2" t="s">
        <v>5</v>
      </c>
    </row>
    <row r="5" spans="1:16" ht="15.75" customHeight="1">
      <c r="B5" s="3" t="s">
        <v>6</v>
      </c>
      <c r="C5" s="3" t="s">
        <v>7</v>
      </c>
      <c r="D5" s="3" t="s">
        <v>8</v>
      </c>
      <c r="E5" s="3" t="s">
        <v>9</v>
      </c>
      <c r="G5" s="3" t="s">
        <v>8</v>
      </c>
      <c r="H5" s="3" t="s">
        <v>10</v>
      </c>
      <c r="I5" s="3" t="s">
        <v>8</v>
      </c>
      <c r="J5" s="3" t="s">
        <v>10</v>
      </c>
    </row>
    <row r="6" spans="1:16" ht="15.75" customHeight="1">
      <c r="B6" s="3" t="s">
        <v>8</v>
      </c>
      <c r="C6" s="3" t="s">
        <v>9</v>
      </c>
      <c r="D6" s="3" t="s">
        <v>9</v>
      </c>
      <c r="E6" s="4" t="s">
        <v>11</v>
      </c>
      <c r="G6" s="3" t="s">
        <v>10</v>
      </c>
      <c r="H6" s="4" t="s">
        <v>12</v>
      </c>
      <c r="I6" s="3" t="s">
        <v>10</v>
      </c>
      <c r="J6" s="4" t="s">
        <v>11</v>
      </c>
    </row>
    <row r="7" spans="1:16" ht="15.75" customHeight="1">
      <c r="B7" s="3" t="s">
        <v>10</v>
      </c>
      <c r="C7" s="4" t="s">
        <v>13</v>
      </c>
      <c r="D7" s="4" t="s">
        <v>11</v>
      </c>
      <c r="E7" s="4" t="s">
        <v>14</v>
      </c>
      <c r="G7" s="4" t="s">
        <v>12</v>
      </c>
      <c r="H7" s="4" t="s">
        <v>11</v>
      </c>
      <c r="I7" s="4" t="s">
        <v>11</v>
      </c>
      <c r="J7" s="4" t="s">
        <v>14</v>
      </c>
    </row>
    <row r="8" spans="1:16" ht="15.75" customHeight="1">
      <c r="B8" s="3" t="s">
        <v>7</v>
      </c>
      <c r="C8" s="4" t="s">
        <v>15</v>
      </c>
      <c r="D8" s="4" t="s">
        <v>14</v>
      </c>
      <c r="E8" s="4" t="s">
        <v>16</v>
      </c>
      <c r="G8" s="4" t="s">
        <v>11</v>
      </c>
      <c r="H8" s="4" t="s">
        <v>14</v>
      </c>
      <c r="I8" s="4" t="s">
        <v>14</v>
      </c>
      <c r="J8" s="4" t="s">
        <v>17</v>
      </c>
    </row>
    <row r="9" spans="1:16" ht="15.75" customHeight="1">
      <c r="B9" s="3" t="s">
        <v>9</v>
      </c>
      <c r="C9" s="4" t="s">
        <v>12</v>
      </c>
      <c r="D9" s="4" t="s">
        <v>16</v>
      </c>
      <c r="E9" s="4" t="s">
        <v>17</v>
      </c>
      <c r="G9" s="4" t="s">
        <v>18</v>
      </c>
      <c r="H9" s="4" t="s">
        <v>17</v>
      </c>
      <c r="I9" s="4" t="s">
        <v>16</v>
      </c>
      <c r="J9" s="4" t="s">
        <v>19</v>
      </c>
      <c r="N9" s="5"/>
    </row>
    <row r="10" spans="1:16" ht="15.75" customHeight="1">
      <c r="B10" s="4" t="s">
        <v>13</v>
      </c>
      <c r="C10" s="4" t="s">
        <v>11</v>
      </c>
      <c r="D10" s="4" t="s">
        <v>17</v>
      </c>
      <c r="E10" s="4" t="s">
        <v>20</v>
      </c>
      <c r="G10" s="4" t="s">
        <v>14</v>
      </c>
      <c r="H10" s="4" t="s">
        <v>21</v>
      </c>
      <c r="I10" s="4" t="s">
        <v>17</v>
      </c>
      <c r="J10" s="6"/>
      <c r="N10" s="5"/>
    </row>
    <row r="11" spans="1:16" ht="15.75" customHeight="1">
      <c r="B11" s="4" t="s">
        <v>15</v>
      </c>
      <c r="C11" s="4" t="s">
        <v>22</v>
      </c>
      <c r="D11" s="4" t="s">
        <v>20</v>
      </c>
      <c r="E11" s="4" t="s">
        <v>19</v>
      </c>
      <c r="G11" s="4" t="s">
        <v>16</v>
      </c>
      <c r="H11" s="4" t="s">
        <v>19</v>
      </c>
      <c r="I11" s="4" t="s">
        <v>20</v>
      </c>
      <c r="J11" s="6"/>
      <c r="N11" s="5"/>
    </row>
    <row r="12" spans="1:16" ht="15.75" customHeight="1">
      <c r="B12" s="4" t="s">
        <v>12</v>
      </c>
      <c r="C12" s="4" t="s">
        <v>23</v>
      </c>
      <c r="D12" s="4" t="s">
        <v>19</v>
      </c>
      <c r="E12" s="4" t="s">
        <v>24</v>
      </c>
      <c r="G12" s="4" t="s">
        <v>17</v>
      </c>
      <c r="H12" s="4" t="s">
        <v>24</v>
      </c>
      <c r="I12" s="4" t="s">
        <v>19</v>
      </c>
      <c r="J12" s="6"/>
      <c r="N12" s="5"/>
      <c r="P12" s="5"/>
    </row>
    <row r="13" spans="1:16" ht="15.75" customHeight="1">
      <c r="B13" s="4" t="s">
        <v>11</v>
      </c>
      <c r="C13" s="3" t="s">
        <v>25</v>
      </c>
      <c r="D13" s="4" t="s">
        <v>24</v>
      </c>
      <c r="E13" s="3" t="s">
        <v>26</v>
      </c>
      <c r="G13" s="4" t="s">
        <v>21</v>
      </c>
      <c r="H13" s="3" t="s">
        <v>27</v>
      </c>
      <c r="I13" s="3" t="s">
        <v>28</v>
      </c>
      <c r="J13" s="6"/>
      <c r="N13" s="5"/>
      <c r="O13" s="5" t="s">
        <v>29</v>
      </c>
      <c r="P13" s="5"/>
    </row>
    <row r="14" spans="1:16" ht="15.75" customHeight="1">
      <c r="B14" s="4" t="s">
        <v>22</v>
      </c>
      <c r="C14" s="3" t="s">
        <v>30</v>
      </c>
      <c r="D14" s="3" t="s">
        <v>26</v>
      </c>
      <c r="E14" s="3" t="s">
        <v>31</v>
      </c>
      <c r="G14" s="4" t="s">
        <v>20</v>
      </c>
      <c r="H14" s="3" t="s">
        <v>32</v>
      </c>
      <c r="I14" s="6"/>
      <c r="J14" s="6"/>
      <c r="N14" s="5"/>
    </row>
    <row r="15" spans="1:16" ht="15.75" customHeight="1">
      <c r="B15" s="4" t="s">
        <v>23</v>
      </c>
      <c r="C15" s="4" t="s">
        <v>14</v>
      </c>
      <c r="D15" s="3" t="s">
        <v>31</v>
      </c>
      <c r="E15" s="6"/>
      <c r="G15" s="4" t="s">
        <v>19</v>
      </c>
      <c r="H15" s="6"/>
      <c r="I15" s="6"/>
      <c r="J15" s="6"/>
      <c r="N15" s="5"/>
    </row>
    <row r="16" spans="1:16" ht="15.75" customHeight="1">
      <c r="B16" s="3" t="s">
        <v>25</v>
      </c>
      <c r="C16" s="4" t="s">
        <v>16</v>
      </c>
      <c r="D16" s="6"/>
      <c r="E16" s="6"/>
      <c r="G16" s="4" t="s">
        <v>33</v>
      </c>
      <c r="H16" s="6"/>
      <c r="I16" s="6"/>
      <c r="J16" s="6"/>
      <c r="N16" s="5"/>
    </row>
    <row r="17" spans="2:24" ht="15.75" customHeight="1">
      <c r="B17" s="4" t="s">
        <v>18</v>
      </c>
      <c r="C17" s="6" t="s">
        <v>17</v>
      </c>
      <c r="D17" s="6"/>
      <c r="E17" s="6"/>
      <c r="G17" s="4" t="s">
        <v>34</v>
      </c>
      <c r="H17" s="6"/>
      <c r="I17" s="6"/>
      <c r="J17" s="6"/>
      <c r="N17" s="5"/>
    </row>
    <row r="18" spans="2:24" ht="15.75" customHeight="1">
      <c r="B18" s="3" t="s">
        <v>30</v>
      </c>
      <c r="C18" s="4" t="s">
        <v>35</v>
      </c>
      <c r="D18" s="6"/>
      <c r="E18" s="6"/>
      <c r="G18" s="4" t="s">
        <v>24</v>
      </c>
      <c r="H18" s="6"/>
      <c r="I18" s="6"/>
      <c r="J18" s="6"/>
      <c r="N18" s="5"/>
    </row>
    <row r="19" spans="2:24" ht="15.75" customHeight="1">
      <c r="B19" s="4" t="s">
        <v>14</v>
      </c>
      <c r="C19" s="4" t="s">
        <v>21</v>
      </c>
      <c r="D19" s="6"/>
      <c r="E19" s="6"/>
      <c r="G19" s="4" t="s">
        <v>36</v>
      </c>
      <c r="H19" s="6"/>
      <c r="I19" s="6"/>
      <c r="J19" s="6"/>
      <c r="N19" s="5"/>
      <c r="O19" s="5"/>
      <c r="P19" s="5"/>
      <c r="Q19" s="5"/>
      <c r="R19" s="5"/>
      <c r="S19" s="5"/>
      <c r="T19" s="5"/>
      <c r="U19" s="5"/>
      <c r="V19" s="5"/>
      <c r="W19" s="5"/>
    </row>
    <row r="20" spans="2:24" ht="15.75" customHeight="1">
      <c r="B20" s="4" t="s">
        <v>16</v>
      </c>
      <c r="C20" s="4" t="s">
        <v>37</v>
      </c>
      <c r="D20" s="6"/>
      <c r="E20" s="6"/>
      <c r="G20" s="3" t="s">
        <v>27</v>
      </c>
      <c r="H20" s="6"/>
      <c r="I20" s="6"/>
      <c r="J20" s="6"/>
      <c r="L20" s="5"/>
      <c r="M20" s="5"/>
      <c r="N20" s="5"/>
      <c r="O20" s="5"/>
      <c r="P20" s="5"/>
      <c r="Q20" s="5"/>
      <c r="R20" s="5"/>
      <c r="S20" s="5"/>
      <c r="T20" s="5"/>
      <c r="U20" s="5"/>
    </row>
    <row r="21" spans="2:24" ht="15.75" customHeight="1">
      <c r="B21" s="4" t="s">
        <v>17</v>
      </c>
      <c r="C21" s="4" t="s">
        <v>20</v>
      </c>
      <c r="D21" s="6"/>
      <c r="E21" s="6"/>
      <c r="G21" s="3" t="s">
        <v>32</v>
      </c>
      <c r="H21" s="6"/>
      <c r="I21" s="6"/>
      <c r="J21" s="6"/>
      <c r="L21" s="5"/>
      <c r="M21" s="5"/>
      <c r="N21" s="5"/>
      <c r="O21" s="5"/>
      <c r="P21" s="5"/>
    </row>
    <row r="22" spans="2:24" ht="15.75" customHeight="1">
      <c r="B22" s="4" t="s">
        <v>35</v>
      </c>
      <c r="C22" s="4" t="s">
        <v>19</v>
      </c>
      <c r="D22" s="6"/>
      <c r="E22" s="6"/>
      <c r="G22" s="3" t="s">
        <v>28</v>
      </c>
      <c r="H22" s="6"/>
      <c r="I22" s="6"/>
      <c r="J22" s="6"/>
      <c r="M22" s="5"/>
      <c r="N22" s="5"/>
      <c r="O22" s="5"/>
      <c r="P22" s="5"/>
      <c r="Q22" s="5"/>
      <c r="R22" s="5"/>
      <c r="S22" s="5"/>
      <c r="T22" s="5"/>
      <c r="U22" s="7" t="s">
        <v>38</v>
      </c>
      <c r="V22" s="7" t="s">
        <v>39</v>
      </c>
      <c r="W22" s="7" t="s">
        <v>40</v>
      </c>
      <c r="X22" s="5" t="s">
        <v>29</v>
      </c>
    </row>
    <row r="23" spans="2:24" ht="15.75" customHeight="1">
      <c r="B23" s="4" t="s">
        <v>21</v>
      </c>
      <c r="C23" s="4" t="s">
        <v>33</v>
      </c>
      <c r="D23" s="6"/>
      <c r="E23" s="6"/>
      <c r="G23" s="8">
        <f ca="1">IFERROR(__xludf.DUMMYFUNCTION("COUNTUNIQUE(G5:G22)"),18)</f>
        <v>18</v>
      </c>
      <c r="H23" s="8">
        <f ca="1">IFERROR(__xludf.DUMMYFUNCTION("COUNTUNIQUE(H5:H22)"),10)</f>
        <v>10</v>
      </c>
      <c r="I23" s="8">
        <f ca="1">IFERROR(__xludf.DUMMYFUNCTION("COUNTUNIQUE(I5:I22)"),9)</f>
        <v>9</v>
      </c>
      <c r="J23" s="8">
        <f ca="1">IFERROR(__xludf.DUMMYFUNCTION("COUNTUNIQUE(J5:J22)"),5)</f>
        <v>5</v>
      </c>
      <c r="M23" s="5"/>
      <c r="N23" s="5"/>
      <c r="O23" s="5"/>
      <c r="P23" s="5"/>
      <c r="Q23" s="5"/>
      <c r="R23" s="5"/>
      <c r="S23" s="5"/>
      <c r="T23" s="5"/>
      <c r="U23" s="5"/>
      <c r="V23" s="5"/>
      <c r="W23" s="5"/>
      <c r="X23" s="5"/>
    </row>
    <row r="24" spans="2:24" ht="15.75" customHeight="1">
      <c r="B24" s="4" t="s">
        <v>37</v>
      </c>
      <c r="C24" s="4" t="s">
        <v>34</v>
      </c>
      <c r="D24" s="6"/>
      <c r="E24" s="6"/>
      <c r="N24" s="5"/>
    </row>
    <row r="25" spans="2:24" ht="15.75" customHeight="1">
      <c r="B25" s="4" t="s">
        <v>20</v>
      </c>
      <c r="C25" s="4" t="s">
        <v>24</v>
      </c>
      <c r="D25" s="6"/>
      <c r="E25" s="6"/>
      <c r="I25" s="5"/>
      <c r="J25" s="5"/>
      <c r="K25" s="5"/>
      <c r="L25" s="5"/>
      <c r="M25" s="5"/>
      <c r="N25" s="5"/>
      <c r="O25" s="5"/>
      <c r="P25" s="5"/>
      <c r="Q25" s="5"/>
      <c r="R25" s="5"/>
      <c r="S25" s="5"/>
      <c r="T25" s="5"/>
      <c r="U25" s="7" t="s">
        <v>41</v>
      </c>
      <c r="V25" s="7" t="s">
        <v>42</v>
      </c>
      <c r="W25" s="7" t="s">
        <v>43</v>
      </c>
      <c r="X25" s="5" t="s">
        <v>29</v>
      </c>
    </row>
    <row r="26" spans="2:24" ht="15.75" customHeight="1">
      <c r="B26" s="4" t="s">
        <v>19</v>
      </c>
      <c r="C26" s="4" t="s">
        <v>36</v>
      </c>
      <c r="D26" s="6"/>
      <c r="E26" s="6"/>
      <c r="M26" s="5"/>
      <c r="N26" s="5"/>
      <c r="O26" s="5"/>
      <c r="P26" s="5"/>
      <c r="Q26" s="5"/>
      <c r="R26" s="5"/>
      <c r="S26" s="5"/>
      <c r="T26" s="5"/>
      <c r="U26" s="7" t="s">
        <v>44</v>
      </c>
      <c r="V26" s="7" t="s">
        <v>39</v>
      </c>
      <c r="W26" s="7" t="s">
        <v>40</v>
      </c>
      <c r="X26" s="5" t="s">
        <v>29</v>
      </c>
    </row>
    <row r="27" spans="2:24" ht="15.75" customHeight="1">
      <c r="B27" s="4" t="s">
        <v>33</v>
      </c>
      <c r="C27" s="3" t="s">
        <v>27</v>
      </c>
      <c r="D27" s="6"/>
      <c r="E27" s="6"/>
      <c r="M27" s="5"/>
      <c r="N27" s="5"/>
      <c r="O27" s="5"/>
      <c r="P27" s="5"/>
      <c r="Q27" s="5"/>
      <c r="R27" s="5"/>
      <c r="S27" s="5"/>
      <c r="T27" s="5"/>
      <c r="U27" s="7" t="s">
        <v>45</v>
      </c>
      <c r="V27" s="7" t="s">
        <v>46</v>
      </c>
      <c r="W27" s="5"/>
      <c r="X27" s="5"/>
    </row>
    <row r="28" spans="2:24" ht="15.75" customHeight="1">
      <c r="B28" s="4" t="s">
        <v>34</v>
      </c>
      <c r="C28" s="3" t="s">
        <v>32</v>
      </c>
      <c r="D28" s="6"/>
      <c r="E28" s="6"/>
      <c r="N28" s="5"/>
    </row>
    <row r="29" spans="2:24" ht="15.75" customHeight="1">
      <c r="B29" s="4" t="s">
        <v>47</v>
      </c>
      <c r="C29" s="3" t="s">
        <v>26</v>
      </c>
      <c r="D29" s="6"/>
      <c r="E29" s="6"/>
      <c r="N29" s="5"/>
    </row>
    <row r="30" spans="2:24" ht="15.75" customHeight="1">
      <c r="B30" s="4" t="s">
        <v>24</v>
      </c>
      <c r="C30" s="3" t="s">
        <v>31</v>
      </c>
      <c r="D30" s="6"/>
      <c r="E30" s="6"/>
      <c r="N30" s="5"/>
    </row>
    <row r="31" spans="2:24" ht="15.75" customHeight="1">
      <c r="B31" s="4" t="s">
        <v>36</v>
      </c>
      <c r="C31" s="6"/>
      <c r="D31" s="6"/>
      <c r="E31" s="6"/>
      <c r="N31" s="5"/>
    </row>
    <row r="32" spans="2:24" ht="15.75" customHeight="1">
      <c r="B32" s="3" t="s">
        <v>27</v>
      </c>
      <c r="C32" s="6"/>
      <c r="D32" s="6"/>
      <c r="E32" s="6"/>
      <c r="N32" s="5"/>
    </row>
    <row r="33" spans="2:14" ht="15.75" customHeight="1">
      <c r="B33" s="3" t="s">
        <v>48</v>
      </c>
      <c r="C33" s="6"/>
      <c r="D33" s="6"/>
      <c r="E33" s="6"/>
      <c r="N33" s="5"/>
    </row>
    <row r="34" spans="2:14" ht="15.75" customHeight="1">
      <c r="B34" s="3" t="s">
        <v>32</v>
      </c>
      <c r="C34" s="6"/>
      <c r="D34" s="6"/>
      <c r="E34" s="6"/>
    </row>
    <row r="35" spans="2:14" ht="15.75" customHeight="1">
      <c r="B35" s="3" t="s">
        <v>26</v>
      </c>
      <c r="C35" s="6"/>
      <c r="D35" s="6"/>
      <c r="E35" s="6"/>
    </row>
    <row r="36" spans="2:14" ht="15.75" customHeight="1">
      <c r="B36" s="3" t="s">
        <v>31</v>
      </c>
      <c r="C36" s="6"/>
      <c r="D36" s="6"/>
      <c r="E36" s="6"/>
    </row>
    <row r="37" spans="2:14" ht="15.75" customHeight="1">
      <c r="B37" s="8">
        <f ca="1">IFERROR(__xludf.DUMMYFUNCTION("COUNTUNIQUE(B5:B36)"),32)</f>
        <v>32</v>
      </c>
      <c r="C37" s="8">
        <f ca="1">IFERROR(__xludf.DUMMYFUNCTION("COUNTUNIQUE(C5:C36)"),26)</f>
        <v>26</v>
      </c>
      <c r="D37" s="8">
        <f ca="1">IFERROR(__xludf.DUMMYFUNCTION("COUNTUNIQUE(D5:D36)"),11)</f>
        <v>11</v>
      </c>
      <c r="E37" s="8">
        <f ca="1">IFERROR(__xludf.DUMMYFUNCTION("COUNTUNIQUE(E5:E36)"),10)</f>
        <v>10</v>
      </c>
    </row>
  </sheetData>
  <mergeCells count="6">
    <mergeCell ref="B3:C3"/>
    <mergeCell ref="D3:E3"/>
    <mergeCell ref="B2:E2"/>
    <mergeCell ref="G3:H3"/>
    <mergeCell ref="I3:J3"/>
    <mergeCell ref="G2:J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2392E-4380-A249-82DC-9EC3C0CB6074}">
  <dimension ref="A1:I21"/>
  <sheetViews>
    <sheetView zoomScale="167" zoomScaleNormal="167" workbookViewId="0">
      <selection activeCell="C12" sqref="C12"/>
    </sheetView>
  </sheetViews>
  <sheetFormatPr baseColWidth="10" defaultRowHeight="13"/>
  <cols>
    <col min="1" max="1" width="44.5" style="16" customWidth="1"/>
    <col min="2" max="2" width="24.83203125" customWidth="1"/>
    <col min="3" max="3" width="34.5" customWidth="1"/>
    <col min="4" max="4" width="26.5" customWidth="1"/>
    <col min="5" max="5" width="18.6640625" customWidth="1"/>
    <col min="8" max="8" width="21.1640625" customWidth="1"/>
  </cols>
  <sheetData>
    <row r="1" spans="1:5" ht="18" thickBot="1">
      <c r="A1" s="17" t="s">
        <v>58</v>
      </c>
      <c r="B1" s="15" t="s">
        <v>59</v>
      </c>
      <c r="C1" s="15" t="s">
        <v>60</v>
      </c>
    </row>
    <row r="2" spans="1:5" ht="14">
      <c r="A2" s="16" t="s">
        <v>61</v>
      </c>
      <c r="B2" t="s">
        <v>62</v>
      </c>
      <c r="C2" t="s">
        <v>63</v>
      </c>
    </row>
    <row r="3" spans="1:5" ht="14">
      <c r="A3" s="16" t="s">
        <v>64</v>
      </c>
      <c r="B3" t="s">
        <v>62</v>
      </c>
      <c r="C3" t="s">
        <v>63</v>
      </c>
    </row>
    <row r="4" spans="1:5" ht="14">
      <c r="A4" s="16" t="s">
        <v>65</v>
      </c>
      <c r="B4" t="s">
        <v>66</v>
      </c>
      <c r="C4" t="s">
        <v>63</v>
      </c>
    </row>
    <row r="5" spans="1:5" ht="14">
      <c r="A5" s="16" t="s">
        <v>67</v>
      </c>
      <c r="B5" t="s">
        <v>68</v>
      </c>
      <c r="C5" t="s">
        <v>63</v>
      </c>
    </row>
    <row r="6" spans="1:5" ht="14">
      <c r="A6" s="16" t="s">
        <v>69</v>
      </c>
      <c r="B6" t="s">
        <v>70</v>
      </c>
      <c r="C6" t="s">
        <v>63</v>
      </c>
    </row>
    <row r="7" spans="1:5" ht="14">
      <c r="A7" s="16" t="s">
        <v>71</v>
      </c>
      <c r="B7" t="s">
        <v>72</v>
      </c>
      <c r="C7" t="s">
        <v>63</v>
      </c>
    </row>
    <row r="8" spans="1:5" ht="14">
      <c r="A8" s="16" t="s">
        <v>73</v>
      </c>
      <c r="B8" t="s">
        <v>72</v>
      </c>
      <c r="C8" t="s">
        <v>63</v>
      </c>
    </row>
    <row r="9" spans="1:5" ht="14">
      <c r="A9" s="16" t="s">
        <v>74</v>
      </c>
      <c r="B9" t="s">
        <v>75</v>
      </c>
      <c r="C9" t="s">
        <v>63</v>
      </c>
    </row>
    <row r="10" spans="1:5" s="35" customFormat="1" ht="14">
      <c r="A10" s="34" t="s">
        <v>76</v>
      </c>
      <c r="B10" s="35" t="s">
        <v>77</v>
      </c>
      <c r="C10" s="35" t="s">
        <v>63</v>
      </c>
      <c r="D10" s="36" t="s">
        <v>814</v>
      </c>
    </row>
    <row r="11" spans="1:5" ht="56">
      <c r="A11" s="16" t="s">
        <v>78</v>
      </c>
      <c r="B11" s="16" t="s">
        <v>79</v>
      </c>
      <c r="C11" s="33" t="s">
        <v>80</v>
      </c>
    </row>
    <row r="12" spans="1:5" s="35" customFormat="1" ht="84">
      <c r="A12" s="34" t="s">
        <v>81</v>
      </c>
      <c r="B12" s="34" t="s">
        <v>82</v>
      </c>
      <c r="C12" s="34" t="s">
        <v>80</v>
      </c>
      <c r="D12" s="36" t="s">
        <v>814</v>
      </c>
    </row>
    <row r="13" spans="1:5" s="32" customFormat="1" ht="14">
      <c r="A13" s="31" t="s">
        <v>83</v>
      </c>
      <c r="B13" s="32" t="s">
        <v>84</v>
      </c>
      <c r="C13" s="32" t="s">
        <v>63</v>
      </c>
      <c r="D13" s="32" t="s">
        <v>815</v>
      </c>
      <c r="E13" s="37" t="s">
        <v>816</v>
      </c>
    </row>
    <row r="14" spans="1:5" s="35" customFormat="1" ht="14">
      <c r="A14" s="34" t="s">
        <v>85</v>
      </c>
      <c r="D14" s="36" t="s">
        <v>814</v>
      </c>
    </row>
    <row r="15" spans="1:5" ht="14">
      <c r="A15" s="16" t="s">
        <v>86</v>
      </c>
    </row>
    <row r="16" spans="1:5" s="35" customFormat="1" ht="28">
      <c r="A16" s="34" t="s">
        <v>87</v>
      </c>
      <c r="B16" s="34" t="s">
        <v>88</v>
      </c>
      <c r="C16" s="35" t="s">
        <v>89</v>
      </c>
      <c r="D16" s="36" t="s">
        <v>814</v>
      </c>
    </row>
    <row r="17" spans="1:9" ht="56">
      <c r="A17" s="16" t="s">
        <v>90</v>
      </c>
      <c r="B17" s="16" t="s">
        <v>91</v>
      </c>
      <c r="C17" t="s">
        <v>92</v>
      </c>
    </row>
    <row r="18" spans="1:9" ht="14">
      <c r="A18" s="16" t="s">
        <v>93</v>
      </c>
      <c r="B18" t="s">
        <v>94</v>
      </c>
      <c r="C18" t="s">
        <v>92</v>
      </c>
      <c r="H18" s="30" t="s">
        <v>810</v>
      </c>
    </row>
    <row r="19" spans="1:9" ht="14">
      <c r="A19" s="16" t="s">
        <v>95</v>
      </c>
      <c r="B19" t="s">
        <v>96</v>
      </c>
      <c r="C19" t="s">
        <v>92</v>
      </c>
      <c r="H19" t="s">
        <v>63</v>
      </c>
      <c r="I19" t="s">
        <v>808</v>
      </c>
    </row>
    <row r="20" spans="1:9" ht="14">
      <c r="A20" s="33" t="s">
        <v>807</v>
      </c>
      <c r="H20" s="9" t="s">
        <v>811</v>
      </c>
      <c r="I20" t="s">
        <v>809</v>
      </c>
    </row>
    <row r="21" spans="1:9">
      <c r="H21" s="9" t="s">
        <v>813</v>
      </c>
      <c r="I21" t="s">
        <v>812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B536-A7C5-B649-B9CB-AA358F4D0C9F}">
  <dimension ref="A1:H115"/>
  <sheetViews>
    <sheetView topLeftCell="A20" workbookViewId="0">
      <selection activeCell="A34" sqref="A34"/>
    </sheetView>
  </sheetViews>
  <sheetFormatPr baseColWidth="10" defaultRowHeight="14"/>
  <cols>
    <col min="1" max="1" width="46.6640625" style="20" customWidth="1"/>
    <col min="2" max="2" width="20" bestFit="1" customWidth="1"/>
    <col min="8" max="8" width="46.83203125" bestFit="1" customWidth="1"/>
  </cols>
  <sheetData>
    <row r="1" spans="1:8">
      <c r="A1" s="18" t="s">
        <v>97</v>
      </c>
    </row>
    <row r="3" spans="1:8" s="20" customFormat="1">
      <c r="A3" s="19" t="s">
        <v>98</v>
      </c>
      <c r="B3" s="19" t="s">
        <v>99</v>
      </c>
    </row>
    <row r="4" spans="1:8" ht="15">
      <c r="A4" s="21" t="s">
        <v>100</v>
      </c>
      <c r="B4" t="s">
        <v>101</v>
      </c>
    </row>
    <row r="5" spans="1:8" ht="60">
      <c r="A5" s="21" t="s">
        <v>102</v>
      </c>
      <c r="B5" t="s">
        <v>103</v>
      </c>
    </row>
    <row r="6" spans="1:8" ht="30">
      <c r="A6" s="21" t="s">
        <v>104</v>
      </c>
      <c r="B6" t="s">
        <v>105</v>
      </c>
    </row>
    <row r="7" spans="1:8">
      <c r="A7" s="20" t="s">
        <v>106</v>
      </c>
      <c r="B7" t="s">
        <v>107</v>
      </c>
    </row>
    <row r="8" spans="1:8">
      <c r="A8" s="20" t="s">
        <v>108</v>
      </c>
      <c r="B8" t="s">
        <v>109</v>
      </c>
    </row>
    <row r="9" spans="1:8" ht="30">
      <c r="A9" s="21" t="s">
        <v>110</v>
      </c>
      <c r="B9" t="s">
        <v>111</v>
      </c>
    </row>
    <row r="10" spans="1:8" ht="105">
      <c r="A10" s="21" t="s">
        <v>112</v>
      </c>
      <c r="B10" t="s">
        <v>113</v>
      </c>
    </row>
    <row r="11" spans="1:8" ht="45">
      <c r="A11" s="21" t="s">
        <v>114</v>
      </c>
      <c r="B11" t="s">
        <v>115</v>
      </c>
    </row>
    <row r="12" spans="1:8" ht="195">
      <c r="A12" s="21" t="s">
        <v>116</v>
      </c>
      <c r="B12" t="s">
        <v>117</v>
      </c>
      <c r="H12" s="21"/>
    </row>
    <row r="13" spans="1:8" ht="60">
      <c r="A13" s="21" t="s">
        <v>118</v>
      </c>
      <c r="B13" t="s">
        <v>119</v>
      </c>
      <c r="H13" s="21"/>
    </row>
    <row r="14" spans="1:8" ht="60">
      <c r="A14" s="21" t="s">
        <v>120</v>
      </c>
      <c r="B14" t="s">
        <v>121</v>
      </c>
      <c r="H14" s="21"/>
    </row>
    <row r="15" spans="1:8" ht="30">
      <c r="A15" s="21" t="s">
        <v>122</v>
      </c>
      <c r="B15" t="s">
        <v>123</v>
      </c>
      <c r="H15" s="21"/>
    </row>
    <row r="16" spans="1:8" ht="75">
      <c r="A16" s="21" t="s">
        <v>124</v>
      </c>
      <c r="B16" t="s">
        <v>125</v>
      </c>
      <c r="H16" s="21"/>
    </row>
    <row r="17" spans="1:8" ht="75">
      <c r="A17" s="21" t="s">
        <v>126</v>
      </c>
      <c r="B17" t="s">
        <v>127</v>
      </c>
      <c r="H17" s="21"/>
    </row>
    <row r="18" spans="1:8" ht="75">
      <c r="A18" s="21" t="s">
        <v>128</v>
      </c>
      <c r="B18" t="s">
        <v>129</v>
      </c>
      <c r="H18" s="21"/>
    </row>
    <row r="19" spans="1:8" ht="105">
      <c r="A19" s="21" t="s">
        <v>130</v>
      </c>
      <c r="B19" t="s">
        <v>131</v>
      </c>
      <c r="H19" s="21"/>
    </row>
    <row r="20" spans="1:8" ht="105">
      <c r="A20" s="22" t="s">
        <v>132</v>
      </c>
      <c r="B20" s="23"/>
      <c r="H20" s="21"/>
    </row>
    <row r="21" spans="1:8" ht="15">
      <c r="A21" s="22" t="s">
        <v>133</v>
      </c>
      <c r="B21" s="23" t="s">
        <v>134</v>
      </c>
      <c r="H21" s="21"/>
    </row>
    <row r="22" spans="1:8" ht="15">
      <c r="A22" s="22" t="s">
        <v>135</v>
      </c>
      <c r="B22" s="23" t="s">
        <v>136</v>
      </c>
      <c r="H22" s="21"/>
    </row>
    <row r="23" spans="1:8" ht="15">
      <c r="A23" s="22" t="s">
        <v>137</v>
      </c>
      <c r="B23" s="23" t="s">
        <v>138</v>
      </c>
      <c r="H23" s="21"/>
    </row>
    <row r="24" spans="1:8" ht="15">
      <c r="A24" s="22" t="s">
        <v>139</v>
      </c>
      <c r="B24" s="23" t="s">
        <v>140</v>
      </c>
      <c r="H24" s="21"/>
    </row>
    <row r="25" spans="1:8" ht="15">
      <c r="A25" s="22" t="s">
        <v>141</v>
      </c>
      <c r="B25" s="23" t="s">
        <v>142</v>
      </c>
      <c r="H25" s="21"/>
    </row>
    <row r="26" spans="1:8" ht="15">
      <c r="A26" s="22" t="s">
        <v>143</v>
      </c>
      <c r="B26" s="23" t="s">
        <v>144</v>
      </c>
      <c r="H26" s="21"/>
    </row>
    <row r="27" spans="1:8" ht="45">
      <c r="A27" s="22" t="s">
        <v>145</v>
      </c>
      <c r="B27" s="23"/>
      <c r="H27" s="21"/>
    </row>
    <row r="28" spans="1:8" ht="15">
      <c r="A28" s="22" t="s">
        <v>146</v>
      </c>
      <c r="B28" s="23" t="s">
        <v>147</v>
      </c>
      <c r="H28" s="21"/>
    </row>
    <row r="29" spans="1:8" ht="15">
      <c r="A29" s="22" t="s">
        <v>148</v>
      </c>
      <c r="B29" s="23" t="s">
        <v>149</v>
      </c>
      <c r="H29" s="21"/>
    </row>
    <row r="30" spans="1:8" ht="15">
      <c r="A30" s="22" t="s">
        <v>150</v>
      </c>
      <c r="B30" s="23" t="s">
        <v>151</v>
      </c>
      <c r="H30" s="21"/>
    </row>
    <row r="31" spans="1:8" ht="15">
      <c r="A31" s="22" t="s">
        <v>152</v>
      </c>
      <c r="B31" s="23" t="s">
        <v>153</v>
      </c>
      <c r="H31" s="21"/>
    </row>
    <row r="32" spans="1:8" ht="15">
      <c r="A32" s="22" t="s">
        <v>154</v>
      </c>
      <c r="B32" s="23" t="s">
        <v>155</v>
      </c>
      <c r="H32" s="21"/>
    </row>
    <row r="33" spans="1:8" ht="30">
      <c r="A33" s="21" t="s">
        <v>156</v>
      </c>
      <c r="B33" t="s">
        <v>157</v>
      </c>
      <c r="H33" s="21"/>
    </row>
    <row r="34" spans="1:8" ht="53" customHeight="1">
      <c r="A34" s="21" t="s">
        <v>158</v>
      </c>
      <c r="B34" t="s">
        <v>159</v>
      </c>
      <c r="H34" s="21"/>
    </row>
    <row r="35" spans="1:8" ht="64" customHeight="1">
      <c r="A35" s="21" t="s">
        <v>160</v>
      </c>
      <c r="B35" t="s">
        <v>161</v>
      </c>
    </row>
    <row r="36" spans="1:8" ht="60">
      <c r="A36" s="21" t="s">
        <v>162</v>
      </c>
      <c r="B36" t="s">
        <v>163</v>
      </c>
    </row>
    <row r="37" spans="1:8" ht="75">
      <c r="A37" s="21" t="s">
        <v>164</v>
      </c>
      <c r="B37" t="s">
        <v>165</v>
      </c>
    </row>
    <row r="38" spans="1:8" ht="60">
      <c r="A38" s="21" t="s">
        <v>166</v>
      </c>
      <c r="B38" t="s">
        <v>167</v>
      </c>
    </row>
    <row r="39" spans="1:8" ht="30">
      <c r="A39" s="21" t="s">
        <v>168</v>
      </c>
    </row>
    <row r="40" spans="1:8">
      <c r="A40" s="20" t="s">
        <v>169</v>
      </c>
      <c r="B40" t="s">
        <v>170</v>
      </c>
    </row>
    <row r="41" spans="1:8">
      <c r="A41" s="20" t="s">
        <v>171</v>
      </c>
      <c r="B41" t="s">
        <v>172</v>
      </c>
    </row>
    <row r="42" spans="1:8">
      <c r="A42" s="20" t="s">
        <v>173</v>
      </c>
      <c r="B42" t="s">
        <v>174</v>
      </c>
    </row>
    <row r="43" spans="1:8">
      <c r="A43" s="20" t="s">
        <v>175</v>
      </c>
      <c r="B43" t="s">
        <v>176</v>
      </c>
    </row>
    <row r="44" spans="1:8" ht="15">
      <c r="A44" s="24" t="s">
        <v>177</v>
      </c>
      <c r="B44" t="s">
        <v>178</v>
      </c>
    </row>
    <row r="45" spans="1:8">
      <c r="A45" s="20" t="s">
        <v>179</v>
      </c>
      <c r="B45" t="s">
        <v>180</v>
      </c>
    </row>
    <row r="46" spans="1:8">
      <c r="A46" s="20" t="s">
        <v>181</v>
      </c>
      <c r="B46" t="s">
        <v>182</v>
      </c>
    </row>
    <row r="47" spans="1:8">
      <c r="A47" s="20" t="s">
        <v>181</v>
      </c>
      <c r="B47" t="s">
        <v>183</v>
      </c>
    </row>
    <row r="48" spans="1:8">
      <c r="A48" s="20" t="s">
        <v>181</v>
      </c>
      <c r="B48" t="s">
        <v>184</v>
      </c>
    </row>
    <row r="49" spans="1:2">
      <c r="A49" s="20" t="s">
        <v>181</v>
      </c>
      <c r="B49" t="s">
        <v>185</v>
      </c>
    </row>
    <row r="50" spans="1:2">
      <c r="A50" s="20" t="s">
        <v>186</v>
      </c>
      <c r="B50" t="s">
        <v>187</v>
      </c>
    </row>
    <row r="51" spans="1:2" ht="30">
      <c r="A51" s="21" t="s">
        <v>188</v>
      </c>
    </row>
    <row r="52" spans="1:2">
      <c r="A52" s="20" t="s">
        <v>189</v>
      </c>
      <c r="B52" t="s">
        <v>190</v>
      </c>
    </row>
    <row r="53" spans="1:2">
      <c r="A53" s="20" t="s">
        <v>191</v>
      </c>
      <c r="B53" t="s">
        <v>192</v>
      </c>
    </row>
    <row r="54" spans="1:2">
      <c r="A54" s="20" t="s">
        <v>193</v>
      </c>
      <c r="B54" t="s">
        <v>194</v>
      </c>
    </row>
    <row r="55" spans="1:2">
      <c r="A55" s="20" t="s">
        <v>195</v>
      </c>
      <c r="B55" t="s">
        <v>196</v>
      </c>
    </row>
    <row r="56" spans="1:2">
      <c r="A56" s="20" t="s">
        <v>195</v>
      </c>
      <c r="B56" t="s">
        <v>197</v>
      </c>
    </row>
    <row r="57" spans="1:2">
      <c r="A57" s="20" t="s">
        <v>195</v>
      </c>
      <c r="B57" t="s">
        <v>198</v>
      </c>
    </row>
    <row r="58" spans="1:2" ht="15">
      <c r="A58" s="24" t="s">
        <v>199</v>
      </c>
      <c r="B58" t="s">
        <v>200</v>
      </c>
    </row>
    <row r="59" spans="1:2" ht="30">
      <c r="A59" s="21" t="s">
        <v>201</v>
      </c>
    </row>
    <row r="60" spans="1:2">
      <c r="A60" s="20" t="s">
        <v>202</v>
      </c>
      <c r="B60" t="s">
        <v>203</v>
      </c>
    </row>
    <row r="61" spans="1:2">
      <c r="A61" s="20" t="s">
        <v>204</v>
      </c>
      <c r="B61" t="s">
        <v>205</v>
      </c>
    </row>
    <row r="62" spans="1:2">
      <c r="A62" s="20" t="s">
        <v>206</v>
      </c>
      <c r="B62" t="s">
        <v>207</v>
      </c>
    </row>
    <row r="63" spans="1:2">
      <c r="A63" s="20" t="s">
        <v>208</v>
      </c>
      <c r="B63" t="s">
        <v>209</v>
      </c>
    </row>
    <row r="64" spans="1:2">
      <c r="A64" s="20" t="s">
        <v>210</v>
      </c>
      <c r="B64" t="s">
        <v>211</v>
      </c>
    </row>
    <row r="65" spans="1:2">
      <c r="A65" s="20" t="s">
        <v>212</v>
      </c>
      <c r="B65" t="s">
        <v>213</v>
      </c>
    </row>
    <row r="66" spans="1:2">
      <c r="A66" s="20" t="s">
        <v>214</v>
      </c>
      <c r="B66" t="s">
        <v>215</v>
      </c>
    </row>
    <row r="67" spans="1:2">
      <c r="A67" s="20" t="s">
        <v>216</v>
      </c>
      <c r="B67" t="s">
        <v>217</v>
      </c>
    </row>
    <row r="68" spans="1:2">
      <c r="A68" s="20" t="s">
        <v>218</v>
      </c>
      <c r="B68" t="s">
        <v>219</v>
      </c>
    </row>
    <row r="69" spans="1:2">
      <c r="A69" s="20" t="s">
        <v>220</v>
      </c>
      <c r="B69" t="s">
        <v>221</v>
      </c>
    </row>
    <row r="70" spans="1:2">
      <c r="A70" s="20" t="s">
        <v>222</v>
      </c>
      <c r="B70" t="s">
        <v>223</v>
      </c>
    </row>
    <row r="71" spans="1:2">
      <c r="A71" s="20" t="s">
        <v>222</v>
      </c>
      <c r="B71" t="s">
        <v>224</v>
      </c>
    </row>
    <row r="72" spans="1:2">
      <c r="A72" s="20" t="s">
        <v>222</v>
      </c>
      <c r="B72" t="s">
        <v>225</v>
      </c>
    </row>
    <row r="73" spans="1:2">
      <c r="A73" s="20" t="s">
        <v>222</v>
      </c>
      <c r="B73" t="s">
        <v>226</v>
      </c>
    </row>
    <row r="74" spans="1:2">
      <c r="A74" s="20" t="s">
        <v>227</v>
      </c>
      <c r="B74" t="s">
        <v>228</v>
      </c>
    </row>
    <row r="75" spans="1:2">
      <c r="A75" s="20" t="s">
        <v>229</v>
      </c>
      <c r="B75" t="s">
        <v>230</v>
      </c>
    </row>
    <row r="76" spans="1:2">
      <c r="A76" s="20" t="s">
        <v>231</v>
      </c>
      <c r="B76" t="s">
        <v>232</v>
      </c>
    </row>
    <row r="77" spans="1:2" ht="60">
      <c r="A77" s="21" t="s">
        <v>233</v>
      </c>
      <c r="B77" t="s">
        <v>234</v>
      </c>
    </row>
    <row r="78" spans="1:2" ht="60">
      <c r="A78" s="21" t="s">
        <v>235</v>
      </c>
    </row>
    <row r="79" spans="1:2">
      <c r="A79" s="20" t="s">
        <v>236</v>
      </c>
      <c r="B79" t="s">
        <v>237</v>
      </c>
    </row>
    <row r="80" spans="1:2">
      <c r="A80" s="20" t="s">
        <v>238</v>
      </c>
      <c r="B80" t="s">
        <v>239</v>
      </c>
    </row>
    <row r="81" spans="1:2">
      <c r="A81" s="20" t="s">
        <v>240</v>
      </c>
      <c r="B81" t="s">
        <v>241</v>
      </c>
    </row>
    <row r="82" spans="1:2">
      <c r="A82" s="20" t="s">
        <v>242</v>
      </c>
      <c r="B82" t="s">
        <v>243</v>
      </c>
    </row>
    <row r="83" spans="1:2">
      <c r="A83" s="20" t="s">
        <v>244</v>
      </c>
      <c r="B83" t="s">
        <v>245</v>
      </c>
    </row>
    <row r="84" spans="1:2">
      <c r="A84" s="20" t="s">
        <v>244</v>
      </c>
      <c r="B84" t="s">
        <v>246</v>
      </c>
    </row>
    <row r="85" spans="1:2">
      <c r="A85" s="20" t="s">
        <v>244</v>
      </c>
      <c r="B85" t="s">
        <v>247</v>
      </c>
    </row>
    <row r="86" spans="1:2">
      <c r="A86" s="20" t="s">
        <v>244</v>
      </c>
      <c r="B86" t="s">
        <v>248</v>
      </c>
    </row>
    <row r="87" spans="1:2" ht="30">
      <c r="A87" s="21" t="s">
        <v>249</v>
      </c>
      <c r="B87" t="s">
        <v>250</v>
      </c>
    </row>
    <row r="88" spans="1:2" ht="45">
      <c r="A88" s="21" t="s">
        <v>251</v>
      </c>
      <c r="B88" t="s">
        <v>252</v>
      </c>
    </row>
    <row r="89" spans="1:2" ht="60">
      <c r="A89" s="21" t="s">
        <v>253</v>
      </c>
      <c r="B89" t="s">
        <v>254</v>
      </c>
    </row>
    <row r="90" spans="1:2" ht="30">
      <c r="A90" s="21" t="s">
        <v>255</v>
      </c>
      <c r="B90" t="s">
        <v>256</v>
      </c>
    </row>
    <row r="91" spans="1:2" ht="45">
      <c r="A91" s="21" t="s">
        <v>257</v>
      </c>
      <c r="B91" t="s">
        <v>258</v>
      </c>
    </row>
    <row r="92" spans="1:2" ht="45">
      <c r="A92" s="21" t="s">
        <v>259</v>
      </c>
    </row>
    <row r="93" spans="1:2" ht="45">
      <c r="A93" s="21" t="s">
        <v>260</v>
      </c>
      <c r="B93" t="s">
        <v>261</v>
      </c>
    </row>
    <row r="94" spans="1:2" ht="60">
      <c r="A94" s="21" t="s">
        <v>262</v>
      </c>
      <c r="B94" t="s">
        <v>263</v>
      </c>
    </row>
    <row r="95" spans="1:2" ht="75">
      <c r="A95" s="21" t="s">
        <v>264</v>
      </c>
      <c r="B95" t="s">
        <v>265</v>
      </c>
    </row>
    <row r="96" spans="1:2" ht="60">
      <c r="A96" s="21" t="s">
        <v>266</v>
      </c>
    </row>
    <row r="97" spans="1:2" ht="45">
      <c r="A97" s="21" t="s">
        <v>267</v>
      </c>
      <c r="B97" t="s">
        <v>268</v>
      </c>
    </row>
    <row r="98" spans="1:2" ht="75">
      <c r="A98" s="21" t="s">
        <v>269</v>
      </c>
    </row>
    <row r="99" spans="1:2" ht="45">
      <c r="A99" s="21" t="s">
        <v>270</v>
      </c>
      <c r="B99" t="s">
        <v>271</v>
      </c>
    </row>
    <row r="100" spans="1:2" ht="60">
      <c r="A100" s="21" t="s">
        <v>272</v>
      </c>
      <c r="B100" t="s">
        <v>273</v>
      </c>
    </row>
    <row r="101" spans="1:2" ht="45">
      <c r="A101" s="21" t="s">
        <v>274</v>
      </c>
      <c r="B101" t="s">
        <v>275</v>
      </c>
    </row>
    <row r="102" spans="1:2" ht="60">
      <c r="A102" s="21" t="s">
        <v>276</v>
      </c>
    </row>
    <row r="103" spans="1:2" ht="15">
      <c r="A103" s="21" t="s">
        <v>277</v>
      </c>
      <c r="B103" t="s">
        <v>278</v>
      </c>
    </row>
    <row r="104" spans="1:2" ht="15">
      <c r="A104" s="21" t="s">
        <v>279</v>
      </c>
      <c r="B104" t="s">
        <v>280</v>
      </c>
    </row>
    <row r="105" spans="1:2" ht="15">
      <c r="A105" s="21" t="s">
        <v>281</v>
      </c>
      <c r="B105" t="s">
        <v>282</v>
      </c>
    </row>
    <row r="106" spans="1:2" ht="60">
      <c r="A106" s="21" t="s">
        <v>283</v>
      </c>
      <c r="B106" t="s">
        <v>284</v>
      </c>
    </row>
    <row r="107" spans="1:2" ht="60">
      <c r="A107" s="21" t="s">
        <v>285</v>
      </c>
      <c r="B107" t="s">
        <v>286</v>
      </c>
    </row>
    <row r="108" spans="1:2" ht="45">
      <c r="A108" s="21" t="s">
        <v>287</v>
      </c>
      <c r="B108" t="s">
        <v>288</v>
      </c>
    </row>
    <row r="109" spans="1:2" ht="45">
      <c r="A109" s="21" t="s">
        <v>289</v>
      </c>
      <c r="B109" t="s">
        <v>290</v>
      </c>
    </row>
    <row r="110" spans="1:2" ht="60">
      <c r="A110" s="21" t="s">
        <v>291</v>
      </c>
      <c r="B110" t="s">
        <v>292</v>
      </c>
    </row>
    <row r="111" spans="1:2" ht="45">
      <c r="A111" s="21" t="s">
        <v>293</v>
      </c>
      <c r="B111" t="s">
        <v>294</v>
      </c>
    </row>
    <row r="112" spans="1:2" ht="45">
      <c r="A112" s="21" t="s">
        <v>295</v>
      </c>
      <c r="B112" t="s">
        <v>296</v>
      </c>
    </row>
    <row r="113" spans="1:2" ht="60">
      <c r="A113" s="21" t="s">
        <v>297</v>
      </c>
    </row>
    <row r="114" spans="1:2" ht="30">
      <c r="A114" s="21" t="s">
        <v>298</v>
      </c>
      <c r="B114" t="s">
        <v>299</v>
      </c>
    </row>
    <row r="115" spans="1:2" ht="30">
      <c r="A115" s="21" t="s">
        <v>300</v>
      </c>
      <c r="B115" t="s">
        <v>301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8CF07-8A82-0F48-89F3-764D7219E52B}">
  <dimension ref="A1:E50"/>
  <sheetViews>
    <sheetView topLeftCell="A17" workbookViewId="0">
      <selection activeCell="A18" sqref="A18"/>
    </sheetView>
  </sheetViews>
  <sheetFormatPr baseColWidth="10" defaultRowHeight="13"/>
  <cols>
    <col min="1" max="1" width="133.1640625" customWidth="1"/>
    <col min="5" max="5" width="144.33203125" bestFit="1" customWidth="1"/>
  </cols>
  <sheetData>
    <row r="1" spans="1:5">
      <c r="A1" s="25" t="s">
        <v>302</v>
      </c>
    </row>
    <row r="3" spans="1:5" ht="14">
      <c r="A3" s="19" t="s">
        <v>98</v>
      </c>
      <c r="B3" s="19" t="s">
        <v>99</v>
      </c>
    </row>
    <row r="4" spans="1:5" ht="14">
      <c r="A4" s="20" t="s">
        <v>303</v>
      </c>
      <c r="B4" s="20" t="s">
        <v>304</v>
      </c>
      <c r="E4" s="20"/>
    </row>
    <row r="5" spans="1:5" ht="30">
      <c r="A5" s="21" t="s">
        <v>305</v>
      </c>
      <c r="B5" s="20" t="s">
        <v>306</v>
      </c>
      <c r="E5" s="20"/>
    </row>
    <row r="6" spans="1:5" ht="14">
      <c r="A6" s="20" t="s">
        <v>307</v>
      </c>
      <c r="B6" s="20" t="s">
        <v>308</v>
      </c>
      <c r="E6" s="20"/>
    </row>
    <row r="7" spans="1:5" ht="14">
      <c r="A7" s="20" t="s">
        <v>309</v>
      </c>
      <c r="B7" s="20" t="s">
        <v>310</v>
      </c>
      <c r="E7" s="20"/>
    </row>
    <row r="8" spans="1:5" ht="14">
      <c r="A8" s="20" t="s">
        <v>311</v>
      </c>
      <c r="B8" s="20" t="s">
        <v>312</v>
      </c>
      <c r="E8" s="20"/>
    </row>
    <row r="9" spans="1:5" ht="30">
      <c r="A9" s="21" t="s">
        <v>313</v>
      </c>
      <c r="B9" s="20" t="s">
        <v>314</v>
      </c>
      <c r="E9" s="20"/>
    </row>
    <row r="10" spans="1:5" ht="60">
      <c r="A10" s="21" t="s">
        <v>315</v>
      </c>
      <c r="B10" s="20" t="s">
        <v>316</v>
      </c>
      <c r="E10" s="20"/>
    </row>
    <row r="11" spans="1:5" ht="30">
      <c r="A11" s="21" t="s">
        <v>317</v>
      </c>
      <c r="B11" s="20" t="s">
        <v>318</v>
      </c>
      <c r="E11" s="20"/>
    </row>
    <row r="12" spans="1:5" ht="105">
      <c r="A12" s="21" t="s">
        <v>319</v>
      </c>
      <c r="B12" s="20" t="s">
        <v>320</v>
      </c>
      <c r="E12" s="20"/>
    </row>
    <row r="13" spans="1:5" ht="60">
      <c r="A13" s="21" t="s">
        <v>321</v>
      </c>
      <c r="B13" s="20" t="s">
        <v>322</v>
      </c>
      <c r="E13" s="20"/>
    </row>
    <row r="14" spans="1:5" ht="45">
      <c r="A14" s="21" t="s">
        <v>323</v>
      </c>
      <c r="B14" s="20" t="s">
        <v>324</v>
      </c>
      <c r="E14" s="20"/>
    </row>
    <row r="15" spans="1:5" ht="30">
      <c r="A15" s="21" t="s">
        <v>325</v>
      </c>
      <c r="B15" s="20" t="s">
        <v>326</v>
      </c>
      <c r="E15" s="20"/>
    </row>
    <row r="16" spans="1:5" ht="45">
      <c r="A16" s="21" t="s">
        <v>327</v>
      </c>
      <c r="B16" s="20" t="s">
        <v>328</v>
      </c>
      <c r="E16" s="20"/>
    </row>
    <row r="17" spans="1:5" ht="45">
      <c r="A17" s="21" t="s">
        <v>329</v>
      </c>
      <c r="B17" s="20" t="s">
        <v>330</v>
      </c>
      <c r="E17" s="20"/>
    </row>
    <row r="18" spans="1:5" ht="75">
      <c r="A18" s="21" t="s">
        <v>331</v>
      </c>
      <c r="B18" s="20" t="s">
        <v>332</v>
      </c>
      <c r="E18" s="20"/>
    </row>
    <row r="19" spans="1:5" ht="45">
      <c r="A19" s="21" t="s">
        <v>333</v>
      </c>
      <c r="B19" s="20" t="s">
        <v>334</v>
      </c>
      <c r="E19" s="20"/>
    </row>
    <row r="20" spans="1:5" ht="30">
      <c r="A20" s="22" t="s">
        <v>335</v>
      </c>
      <c r="B20" s="26"/>
      <c r="E20" s="20"/>
    </row>
    <row r="21" spans="1:5" ht="14">
      <c r="A21" s="26" t="s">
        <v>336</v>
      </c>
      <c r="B21" s="26" t="s">
        <v>337</v>
      </c>
      <c r="E21" s="20"/>
    </row>
    <row r="22" spans="1:5" ht="14">
      <c r="A22" s="26" t="s">
        <v>135</v>
      </c>
      <c r="B22" s="26" t="s">
        <v>338</v>
      </c>
      <c r="E22" s="20"/>
    </row>
    <row r="23" spans="1:5" ht="14">
      <c r="A23" s="26" t="s">
        <v>137</v>
      </c>
      <c r="B23" s="26" t="s">
        <v>339</v>
      </c>
      <c r="E23" s="20"/>
    </row>
    <row r="24" spans="1:5" ht="14">
      <c r="A24" s="26" t="s">
        <v>139</v>
      </c>
      <c r="B24" s="26" t="s">
        <v>340</v>
      </c>
      <c r="E24" s="20"/>
    </row>
    <row r="25" spans="1:5" ht="14">
      <c r="A25" s="26" t="s">
        <v>141</v>
      </c>
      <c r="B25" s="26" t="s">
        <v>341</v>
      </c>
      <c r="E25" s="20"/>
    </row>
    <row r="26" spans="1:5" ht="14">
      <c r="A26" s="26" t="s">
        <v>342</v>
      </c>
      <c r="B26" s="26" t="s">
        <v>343</v>
      </c>
      <c r="E26" s="20"/>
    </row>
    <row r="27" spans="1:5" ht="14">
      <c r="A27" s="26" t="s">
        <v>344</v>
      </c>
      <c r="B27" s="26" t="s">
        <v>345</v>
      </c>
    </row>
    <row r="28" spans="1:5" ht="30">
      <c r="A28" s="22" t="s">
        <v>346</v>
      </c>
      <c r="B28" s="26"/>
    </row>
    <row r="29" spans="1:5" ht="14">
      <c r="A29" s="26" t="s">
        <v>347</v>
      </c>
      <c r="B29" s="26" t="s">
        <v>348</v>
      </c>
    </row>
    <row r="30" spans="1:5" ht="14">
      <c r="A30" s="26" t="s">
        <v>349</v>
      </c>
      <c r="B30" s="26" t="s">
        <v>350</v>
      </c>
    </row>
    <row r="31" spans="1:5" ht="14">
      <c r="A31" s="26" t="s">
        <v>351</v>
      </c>
      <c r="B31" s="26" t="s">
        <v>352</v>
      </c>
    </row>
    <row r="32" spans="1:5" ht="14">
      <c r="A32" s="26" t="s">
        <v>353</v>
      </c>
      <c r="B32" s="26" t="s">
        <v>354</v>
      </c>
    </row>
    <row r="33" spans="1:2" ht="14">
      <c r="A33" s="26" t="s">
        <v>355</v>
      </c>
      <c r="B33" s="26" t="s">
        <v>356</v>
      </c>
    </row>
    <row r="34" spans="1:2" ht="14">
      <c r="A34" s="20" t="s">
        <v>357</v>
      </c>
      <c r="B34" s="20"/>
    </row>
    <row r="35" spans="1:2" ht="30">
      <c r="A35" s="21" t="s">
        <v>358</v>
      </c>
      <c r="B35" s="20" t="s">
        <v>359</v>
      </c>
    </row>
    <row r="36" spans="1:2" ht="30">
      <c r="A36" s="21" t="s">
        <v>360</v>
      </c>
      <c r="B36" s="20" t="s">
        <v>361</v>
      </c>
    </row>
    <row r="37" spans="1:2" ht="30">
      <c r="A37" s="21" t="s">
        <v>362</v>
      </c>
      <c r="B37" s="20" t="s">
        <v>363</v>
      </c>
    </row>
    <row r="38" spans="1:2" ht="30">
      <c r="A38" s="21" t="s">
        <v>364</v>
      </c>
      <c r="B38" s="20" t="s">
        <v>365</v>
      </c>
    </row>
    <row r="39" spans="1:2" ht="45">
      <c r="A39" s="21" t="s">
        <v>366</v>
      </c>
      <c r="B39" s="20"/>
    </row>
    <row r="40" spans="1:2" ht="15">
      <c r="A40" s="21" t="s">
        <v>367</v>
      </c>
      <c r="B40" s="20" t="s">
        <v>368</v>
      </c>
    </row>
    <row r="41" spans="1:2" ht="15">
      <c r="A41" s="21" t="s">
        <v>369</v>
      </c>
      <c r="B41" s="20" t="s">
        <v>370</v>
      </c>
    </row>
    <row r="42" spans="1:2" ht="14">
      <c r="A42" s="20"/>
      <c r="B42" s="20"/>
    </row>
    <row r="43" spans="1:2" ht="14">
      <c r="A43" s="20"/>
      <c r="B43" s="20"/>
    </row>
    <row r="44" spans="1:2" ht="14">
      <c r="A44" s="20"/>
      <c r="B44" s="20"/>
    </row>
    <row r="45" spans="1:2" ht="14">
      <c r="A45" s="20"/>
      <c r="B45" s="20"/>
    </row>
    <row r="46" spans="1:2" ht="14">
      <c r="A46" s="20"/>
      <c r="B46" s="20"/>
    </row>
    <row r="47" spans="1:2" ht="14">
      <c r="A47" s="20"/>
      <c r="B47" s="20"/>
    </row>
    <row r="48" spans="1:2" ht="14">
      <c r="A48" s="20"/>
      <c r="B48" s="20"/>
    </row>
    <row r="49" spans="1:2" ht="14">
      <c r="A49" s="20"/>
      <c r="B49" s="20"/>
    </row>
    <row r="50" spans="1:2" ht="14">
      <c r="A50" s="20"/>
      <c r="B50" s="2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468D0-92EC-2A4F-8548-AAB12F5CCB80}">
  <dimension ref="A1:C232"/>
  <sheetViews>
    <sheetView topLeftCell="A214" workbookViewId="0">
      <selection activeCell="E4" sqref="E4"/>
    </sheetView>
  </sheetViews>
  <sheetFormatPr baseColWidth="10" defaultRowHeight="13"/>
  <cols>
    <col min="1" max="1" width="48.6640625" style="16" customWidth="1"/>
    <col min="2" max="3" width="10.83203125" style="16"/>
  </cols>
  <sheetData>
    <row r="1" spans="1:3">
      <c r="A1"/>
      <c r="B1"/>
      <c r="C1"/>
    </row>
    <row r="2" spans="1:3" ht="14">
      <c r="A2" s="19" t="s">
        <v>98</v>
      </c>
      <c r="B2" s="19" t="s">
        <v>99</v>
      </c>
      <c r="C2"/>
    </row>
    <row r="3" spans="1:3" ht="90">
      <c r="A3" s="21" t="s">
        <v>531</v>
      </c>
      <c r="B3" s="20" t="s">
        <v>532</v>
      </c>
      <c r="C3"/>
    </row>
    <row r="4" spans="1:3" ht="135">
      <c r="A4" s="21" t="s">
        <v>533</v>
      </c>
      <c r="B4" s="20" t="s">
        <v>534</v>
      </c>
      <c r="C4"/>
    </row>
    <row r="5" spans="1:3" ht="105">
      <c r="A5" s="21" t="s">
        <v>535</v>
      </c>
      <c r="B5" s="20" t="s">
        <v>536</v>
      </c>
      <c r="C5"/>
    </row>
    <row r="6" spans="1:3" ht="105">
      <c r="A6" s="21" t="s">
        <v>537</v>
      </c>
      <c r="B6" s="20" t="s">
        <v>538</v>
      </c>
      <c r="C6"/>
    </row>
    <row r="7" spans="1:3" ht="90">
      <c r="A7" s="21" t="s">
        <v>539</v>
      </c>
      <c r="B7" s="20" t="s">
        <v>540</v>
      </c>
      <c r="C7"/>
    </row>
    <row r="8" spans="1:3" ht="90">
      <c r="A8" s="21" t="s">
        <v>541</v>
      </c>
      <c r="B8" s="20" t="s">
        <v>542</v>
      </c>
      <c r="C8"/>
    </row>
    <row r="9" spans="1:3" ht="165">
      <c r="A9" s="21" t="s">
        <v>543</v>
      </c>
      <c r="B9" s="20" t="s">
        <v>544</v>
      </c>
      <c r="C9"/>
    </row>
    <row r="10" spans="1:3" ht="15">
      <c r="A10" s="21" t="s">
        <v>545</v>
      </c>
      <c r="B10" s="20" t="s">
        <v>546</v>
      </c>
      <c r="C10"/>
    </row>
    <row r="11" spans="1:3" ht="15">
      <c r="A11" s="21" t="s">
        <v>547</v>
      </c>
      <c r="B11" s="20" t="s">
        <v>548</v>
      </c>
      <c r="C11"/>
    </row>
    <row r="12" spans="1:3" ht="45">
      <c r="A12" s="21" t="s">
        <v>549</v>
      </c>
      <c r="B12" s="20" t="s">
        <v>550</v>
      </c>
      <c r="C12"/>
    </row>
    <row r="13" spans="1:3" ht="45">
      <c r="A13" s="21" t="s">
        <v>551</v>
      </c>
      <c r="B13" s="20" t="s">
        <v>552</v>
      </c>
      <c r="C13"/>
    </row>
    <row r="14" spans="1:3" ht="30">
      <c r="A14" s="21" t="s">
        <v>553</v>
      </c>
      <c r="B14" s="20" t="s">
        <v>554</v>
      </c>
      <c r="C14"/>
    </row>
    <row r="15" spans="1:3" ht="45">
      <c r="A15" s="21" t="s">
        <v>555</v>
      </c>
      <c r="B15" s="20" t="s">
        <v>556</v>
      </c>
      <c r="C15"/>
    </row>
    <row r="16" spans="1:3" ht="60">
      <c r="A16" s="21" t="s">
        <v>557</v>
      </c>
      <c r="B16" s="20" t="s">
        <v>558</v>
      </c>
      <c r="C16"/>
    </row>
    <row r="17" spans="1:3" ht="45">
      <c r="A17" s="21" t="s">
        <v>559</v>
      </c>
      <c r="B17" s="20" t="s">
        <v>560</v>
      </c>
      <c r="C17"/>
    </row>
    <row r="18" spans="1:3" ht="15">
      <c r="A18" s="21" t="s">
        <v>561</v>
      </c>
      <c r="B18" s="20" t="s">
        <v>562</v>
      </c>
      <c r="C18"/>
    </row>
    <row r="19" spans="1:3" ht="15">
      <c r="A19" s="21" t="s">
        <v>563</v>
      </c>
      <c r="B19" s="20" t="s">
        <v>564</v>
      </c>
      <c r="C19"/>
    </row>
    <row r="20" spans="1:3" ht="30">
      <c r="A20" s="21" t="s">
        <v>565</v>
      </c>
      <c r="B20" s="20" t="s">
        <v>566</v>
      </c>
      <c r="C20"/>
    </row>
    <row r="21" spans="1:3" ht="60">
      <c r="A21" s="21" t="s">
        <v>567</v>
      </c>
      <c r="B21" s="20" t="s">
        <v>568</v>
      </c>
      <c r="C21"/>
    </row>
    <row r="22" spans="1:3" ht="105">
      <c r="A22" s="21" t="s">
        <v>396</v>
      </c>
      <c r="B22" s="20" t="s">
        <v>569</v>
      </c>
      <c r="C22"/>
    </row>
    <row r="23" spans="1:3" ht="75">
      <c r="A23" s="21" t="s">
        <v>570</v>
      </c>
      <c r="B23" s="20" t="s">
        <v>571</v>
      </c>
      <c r="C23"/>
    </row>
    <row r="24" spans="1:3" ht="180">
      <c r="A24" s="21" t="s">
        <v>572</v>
      </c>
      <c r="B24" s="20" t="s">
        <v>573</v>
      </c>
      <c r="C24"/>
    </row>
    <row r="25" spans="1:3" ht="30">
      <c r="A25" s="21" t="s">
        <v>574</v>
      </c>
      <c r="B25" s="20" t="s">
        <v>575</v>
      </c>
      <c r="C25"/>
    </row>
    <row r="26" spans="1:3" ht="30">
      <c r="A26" s="21" t="s">
        <v>576</v>
      </c>
      <c r="B26" s="20" t="s">
        <v>577</v>
      </c>
      <c r="C26"/>
    </row>
    <row r="27" spans="1:3" ht="150">
      <c r="A27" s="21" t="s">
        <v>578</v>
      </c>
      <c r="B27" s="20" t="s">
        <v>579</v>
      </c>
      <c r="C27"/>
    </row>
    <row r="28" spans="1:3" ht="105">
      <c r="A28" s="21" t="s">
        <v>580</v>
      </c>
      <c r="B28" s="20" t="s">
        <v>581</v>
      </c>
      <c r="C28"/>
    </row>
    <row r="29" spans="1:3" ht="240">
      <c r="A29" s="21" t="s">
        <v>582</v>
      </c>
      <c r="B29" s="20" t="s">
        <v>583</v>
      </c>
      <c r="C29"/>
    </row>
    <row r="30" spans="1:3" ht="30">
      <c r="A30" s="21" t="s">
        <v>584</v>
      </c>
      <c r="B30" s="20" t="s">
        <v>585</v>
      </c>
      <c r="C30"/>
    </row>
    <row r="31" spans="1:3" ht="30">
      <c r="A31" s="21" t="s">
        <v>586</v>
      </c>
      <c r="B31" s="20" t="s">
        <v>587</v>
      </c>
      <c r="C31"/>
    </row>
    <row r="32" spans="1:3" ht="15">
      <c r="A32" s="21" t="s">
        <v>588</v>
      </c>
      <c r="B32" s="20" t="s">
        <v>589</v>
      </c>
      <c r="C32"/>
    </row>
    <row r="33" spans="1:3" ht="15">
      <c r="A33" s="21" t="s">
        <v>590</v>
      </c>
      <c r="B33" s="20" t="s">
        <v>591</v>
      </c>
      <c r="C33"/>
    </row>
    <row r="34" spans="1:3" ht="30">
      <c r="A34" s="21" t="s">
        <v>592</v>
      </c>
      <c r="B34" s="20" t="s">
        <v>593</v>
      </c>
      <c r="C34"/>
    </row>
    <row r="35" spans="1:3" ht="15">
      <c r="A35" s="21" t="s">
        <v>594</v>
      </c>
      <c r="B35" s="20" t="s">
        <v>595</v>
      </c>
      <c r="C35"/>
    </row>
    <row r="36" spans="1:3" ht="255">
      <c r="A36" s="21" t="s">
        <v>596</v>
      </c>
      <c r="B36" s="20" t="s">
        <v>597</v>
      </c>
      <c r="C36"/>
    </row>
    <row r="37" spans="1:3" ht="15">
      <c r="A37" s="21" t="s">
        <v>598</v>
      </c>
      <c r="B37" s="20" t="s">
        <v>599</v>
      </c>
      <c r="C37"/>
    </row>
    <row r="38" spans="1:3" ht="105">
      <c r="A38" s="21" t="s">
        <v>600</v>
      </c>
      <c r="B38" s="20" t="s">
        <v>601</v>
      </c>
      <c r="C38"/>
    </row>
    <row r="39" spans="1:3" ht="30">
      <c r="A39" s="21" t="s">
        <v>602</v>
      </c>
      <c r="B39" s="20" t="s">
        <v>603</v>
      </c>
      <c r="C39"/>
    </row>
    <row r="40" spans="1:3" ht="15">
      <c r="A40" s="21" t="s">
        <v>604</v>
      </c>
      <c r="B40" s="20" t="s">
        <v>605</v>
      </c>
      <c r="C40" t="s">
        <v>606</v>
      </c>
    </row>
    <row r="41" spans="1:3" ht="15">
      <c r="A41" s="21" t="s">
        <v>607</v>
      </c>
      <c r="B41" s="21" t="s">
        <v>608</v>
      </c>
      <c r="C41"/>
    </row>
    <row r="42" spans="1:3" ht="14">
      <c r="A42" s="20"/>
      <c r="B42" s="20"/>
      <c r="C42"/>
    </row>
    <row r="43" spans="1:3" ht="14">
      <c r="A43" s="20"/>
      <c r="B43" s="20"/>
      <c r="C43"/>
    </row>
    <row r="44" spans="1:3" ht="15">
      <c r="A44" s="27" t="s">
        <v>609</v>
      </c>
      <c r="B44" s="20"/>
      <c r="C44"/>
    </row>
    <row r="45" spans="1:3" ht="105">
      <c r="A45" s="21" t="s">
        <v>372</v>
      </c>
      <c r="B45" s="20" t="s">
        <v>610</v>
      </c>
      <c r="C45"/>
    </row>
    <row r="46" spans="1:3" ht="135">
      <c r="A46" s="21" t="s">
        <v>611</v>
      </c>
      <c r="B46" s="20" t="s">
        <v>612</v>
      </c>
      <c r="C46"/>
    </row>
    <row r="47" spans="1:3" ht="90">
      <c r="A47" s="21" t="s">
        <v>613</v>
      </c>
      <c r="B47" s="20" t="s">
        <v>614</v>
      </c>
      <c r="C47"/>
    </row>
    <row r="48" spans="1:3" ht="105">
      <c r="A48" s="21" t="s">
        <v>378</v>
      </c>
      <c r="B48" s="20" t="s">
        <v>615</v>
      </c>
      <c r="C48"/>
    </row>
    <row r="49" spans="1:3" ht="30">
      <c r="A49" s="21" t="s">
        <v>380</v>
      </c>
      <c r="B49" s="20" t="s">
        <v>616</v>
      </c>
      <c r="C49"/>
    </row>
    <row r="50" spans="1:3" ht="90">
      <c r="A50" s="21" t="s">
        <v>382</v>
      </c>
      <c r="B50" s="20" t="s">
        <v>617</v>
      </c>
      <c r="C50"/>
    </row>
    <row r="51" spans="1:3" ht="165">
      <c r="A51" s="21" t="s">
        <v>384</v>
      </c>
      <c r="B51" s="20" t="s">
        <v>618</v>
      </c>
      <c r="C51"/>
    </row>
    <row r="52" spans="1:3" ht="15">
      <c r="A52" s="21" t="s">
        <v>619</v>
      </c>
      <c r="B52" s="20" t="s">
        <v>620</v>
      </c>
      <c r="C52"/>
    </row>
    <row r="53" spans="1:3" ht="15">
      <c r="A53" s="21" t="s">
        <v>621</v>
      </c>
      <c r="B53" s="20" t="s">
        <v>622</v>
      </c>
      <c r="C53"/>
    </row>
    <row r="54" spans="1:3" ht="45">
      <c r="A54" s="21" t="s">
        <v>623</v>
      </c>
      <c r="B54" s="20" t="s">
        <v>624</v>
      </c>
      <c r="C54"/>
    </row>
    <row r="55" spans="1:3" ht="45">
      <c r="A55" s="21" t="s">
        <v>625</v>
      </c>
      <c r="B55" s="20" t="s">
        <v>626</v>
      </c>
      <c r="C55"/>
    </row>
    <row r="56" spans="1:3" ht="30">
      <c r="A56" s="21" t="s">
        <v>390</v>
      </c>
      <c r="B56" s="20" t="s">
        <v>627</v>
      </c>
      <c r="C56"/>
    </row>
    <row r="57" spans="1:3" ht="30">
      <c r="A57" s="21" t="s">
        <v>628</v>
      </c>
      <c r="B57" s="20" t="s">
        <v>629</v>
      </c>
      <c r="C57"/>
    </row>
    <row r="58" spans="1:3" ht="45">
      <c r="A58" s="21" t="s">
        <v>630</v>
      </c>
      <c r="B58" s="20" t="s">
        <v>631</v>
      </c>
      <c r="C58"/>
    </row>
    <row r="59" spans="1:3" ht="210">
      <c r="A59" s="21" t="s">
        <v>632</v>
      </c>
      <c r="B59" s="20" t="s">
        <v>633</v>
      </c>
      <c r="C59"/>
    </row>
    <row r="60" spans="1:3" ht="45">
      <c r="A60" s="21" t="s">
        <v>634</v>
      </c>
      <c r="B60" s="20" t="s">
        <v>635</v>
      </c>
      <c r="C60"/>
    </row>
    <row r="61" spans="1:3" ht="60">
      <c r="A61" s="21" t="s">
        <v>567</v>
      </c>
      <c r="B61" s="20" t="s">
        <v>636</v>
      </c>
      <c r="C61"/>
    </row>
    <row r="62" spans="1:3" ht="105">
      <c r="A62" s="21" t="s">
        <v>396</v>
      </c>
      <c r="B62" s="20" t="s">
        <v>637</v>
      </c>
      <c r="C62"/>
    </row>
    <row r="63" spans="1:3" ht="60">
      <c r="A63" s="21" t="s">
        <v>398</v>
      </c>
      <c r="B63" s="20" t="s">
        <v>638</v>
      </c>
      <c r="C63"/>
    </row>
    <row r="64" spans="1:3" ht="180">
      <c r="A64" s="21" t="s">
        <v>572</v>
      </c>
      <c r="B64" s="20" t="s">
        <v>639</v>
      </c>
      <c r="C64"/>
    </row>
    <row r="65" spans="1:3" ht="45">
      <c r="A65" s="21" t="s">
        <v>640</v>
      </c>
      <c r="B65" s="20" t="s">
        <v>641</v>
      </c>
      <c r="C65"/>
    </row>
    <row r="66" spans="1:3" ht="60">
      <c r="A66" s="21" t="s">
        <v>642</v>
      </c>
      <c r="B66" s="20" t="s">
        <v>643</v>
      </c>
      <c r="C66"/>
    </row>
    <row r="67" spans="1:3" ht="15">
      <c r="A67" s="21" t="s">
        <v>644</v>
      </c>
      <c r="B67" s="20" t="s">
        <v>645</v>
      </c>
      <c r="C67"/>
    </row>
    <row r="68" spans="1:3" ht="45">
      <c r="A68" s="21" t="s">
        <v>646</v>
      </c>
      <c r="B68" s="20" t="s">
        <v>647</v>
      </c>
      <c r="C68"/>
    </row>
    <row r="69" spans="1:3" ht="90">
      <c r="A69" s="21" t="s">
        <v>648</v>
      </c>
      <c r="B69" s="20" t="s">
        <v>649</v>
      </c>
      <c r="C69"/>
    </row>
    <row r="70" spans="1:3" ht="30">
      <c r="A70" s="21" t="s">
        <v>650</v>
      </c>
      <c r="B70" s="20" t="s">
        <v>651</v>
      </c>
      <c r="C70"/>
    </row>
    <row r="71" spans="1:3" ht="45">
      <c r="A71" s="21" t="s">
        <v>652</v>
      </c>
      <c r="B71" s="20" t="s">
        <v>653</v>
      </c>
      <c r="C71"/>
    </row>
    <row r="72" spans="1:3" ht="30">
      <c r="A72" s="21" t="s">
        <v>654</v>
      </c>
      <c r="B72" s="20" t="s">
        <v>655</v>
      </c>
      <c r="C72"/>
    </row>
    <row r="73" spans="1:3" ht="30">
      <c r="A73" s="21" t="s">
        <v>656</v>
      </c>
      <c r="B73" s="20" t="s">
        <v>657</v>
      </c>
      <c r="C73"/>
    </row>
    <row r="74" spans="1:3" ht="30">
      <c r="A74" s="21" t="s">
        <v>658</v>
      </c>
      <c r="B74" s="20" t="s">
        <v>659</v>
      </c>
      <c r="C74"/>
    </row>
    <row r="75" spans="1:3" ht="15">
      <c r="A75" s="21" t="s">
        <v>660</v>
      </c>
      <c r="B75" s="20" t="s">
        <v>661</v>
      </c>
      <c r="C75"/>
    </row>
    <row r="76" spans="1:3" ht="45">
      <c r="A76" s="21" t="s">
        <v>662</v>
      </c>
      <c r="B76" s="20" t="s">
        <v>663</v>
      </c>
      <c r="C76"/>
    </row>
    <row r="77" spans="1:3" ht="60">
      <c r="A77" s="21" t="s">
        <v>664</v>
      </c>
      <c r="B77" s="20" t="s">
        <v>665</v>
      </c>
      <c r="C77"/>
    </row>
    <row r="78" spans="1:3" ht="120">
      <c r="A78" s="21" t="s">
        <v>666</v>
      </c>
      <c r="B78" s="20" t="s">
        <v>667</v>
      </c>
      <c r="C78"/>
    </row>
    <row r="79" spans="1:3" ht="45">
      <c r="A79" s="21" t="s">
        <v>668</v>
      </c>
      <c r="B79" s="20" t="s">
        <v>669</v>
      </c>
      <c r="C79"/>
    </row>
    <row r="80" spans="1:3" ht="60">
      <c r="A80" s="21" t="s">
        <v>670</v>
      </c>
      <c r="B80" s="20"/>
      <c r="C80"/>
    </row>
    <row r="81" spans="1:3" ht="60">
      <c r="A81" s="21" t="s">
        <v>671</v>
      </c>
      <c r="B81" s="20" t="s">
        <v>672</v>
      </c>
      <c r="C81"/>
    </row>
    <row r="82" spans="1:3" ht="15">
      <c r="A82" s="21" t="s">
        <v>430</v>
      </c>
      <c r="B82" s="20" t="s">
        <v>663</v>
      </c>
      <c r="C82"/>
    </row>
    <row r="83" spans="1:3" ht="180">
      <c r="A83" s="21" t="s">
        <v>673</v>
      </c>
      <c r="B83" s="20" t="s">
        <v>674</v>
      </c>
      <c r="C83"/>
    </row>
    <row r="84" spans="1:3" ht="75">
      <c r="A84" s="21" t="s">
        <v>675</v>
      </c>
      <c r="B84" s="20" t="s">
        <v>676</v>
      </c>
      <c r="C84"/>
    </row>
    <row r="85" spans="1:3" ht="15">
      <c r="A85" s="21" t="s">
        <v>677</v>
      </c>
      <c r="B85" s="20" t="s">
        <v>678</v>
      </c>
      <c r="C85"/>
    </row>
    <row r="86" spans="1:3" ht="90">
      <c r="A86" s="21" t="s">
        <v>679</v>
      </c>
      <c r="B86" s="20" t="s">
        <v>680</v>
      </c>
      <c r="C86"/>
    </row>
    <row r="87" spans="1:3" ht="15">
      <c r="A87" s="21" t="s">
        <v>473</v>
      </c>
      <c r="B87" s="20" t="s">
        <v>681</v>
      </c>
      <c r="C87"/>
    </row>
    <row r="88" spans="1:3" ht="15">
      <c r="A88" s="21" t="s">
        <v>475</v>
      </c>
      <c r="B88" s="20" t="s">
        <v>682</v>
      </c>
      <c r="C88"/>
    </row>
    <row r="89" spans="1:3" ht="15">
      <c r="A89" s="21" t="s">
        <v>477</v>
      </c>
      <c r="B89" s="20" t="s">
        <v>683</v>
      </c>
      <c r="C89"/>
    </row>
    <row r="90" spans="1:3" ht="15">
      <c r="A90" s="21" t="s">
        <v>479</v>
      </c>
      <c r="B90" s="20" t="s">
        <v>684</v>
      </c>
      <c r="C90"/>
    </row>
    <row r="91" spans="1:3" ht="15">
      <c r="A91" s="21" t="s">
        <v>481</v>
      </c>
      <c r="B91" s="20" t="s">
        <v>685</v>
      </c>
      <c r="C91"/>
    </row>
    <row r="92" spans="1:3" ht="30">
      <c r="A92" s="21" t="s">
        <v>686</v>
      </c>
      <c r="B92" s="20" t="s">
        <v>687</v>
      </c>
      <c r="C92"/>
    </row>
    <row r="93" spans="1:3" ht="75">
      <c r="A93" s="21" t="s">
        <v>688</v>
      </c>
      <c r="B93" s="20" t="s">
        <v>689</v>
      </c>
      <c r="C93"/>
    </row>
    <row r="94" spans="1:3" ht="15">
      <c r="A94" s="21" t="s">
        <v>690</v>
      </c>
      <c r="B94" s="20" t="s">
        <v>691</v>
      </c>
      <c r="C94"/>
    </row>
    <row r="95" spans="1:3" ht="135">
      <c r="A95" s="21" t="s">
        <v>692</v>
      </c>
      <c r="B95" s="20" t="s">
        <v>693</v>
      </c>
      <c r="C95"/>
    </row>
    <row r="96" spans="1:3" ht="30">
      <c r="A96" s="21" t="s">
        <v>694</v>
      </c>
      <c r="B96" s="20" t="s">
        <v>695</v>
      </c>
      <c r="C96"/>
    </row>
    <row r="97" spans="1:3" ht="45">
      <c r="A97" s="21" t="s">
        <v>696</v>
      </c>
      <c r="B97" s="20" t="s">
        <v>697</v>
      </c>
      <c r="C97"/>
    </row>
    <row r="98" spans="1:3" ht="45">
      <c r="A98" s="21" t="s">
        <v>698</v>
      </c>
      <c r="B98" s="20" t="s">
        <v>699</v>
      </c>
      <c r="C98"/>
    </row>
    <row r="99" spans="1:3" ht="60">
      <c r="A99" s="21" t="s">
        <v>700</v>
      </c>
      <c r="B99" s="20" t="s">
        <v>701</v>
      </c>
      <c r="C99"/>
    </row>
    <row r="100" spans="1:3" ht="45">
      <c r="A100" s="21" t="s">
        <v>702</v>
      </c>
      <c r="B100" s="20" t="s">
        <v>703</v>
      </c>
      <c r="C100"/>
    </row>
    <row r="101" spans="1:3" ht="15">
      <c r="A101" s="21" t="s">
        <v>704</v>
      </c>
      <c r="B101" s="20" t="s">
        <v>705</v>
      </c>
      <c r="C101"/>
    </row>
    <row r="102" spans="1:3" ht="15">
      <c r="A102" s="21" t="s">
        <v>706</v>
      </c>
      <c r="B102" s="20" t="s">
        <v>707</v>
      </c>
      <c r="C102"/>
    </row>
    <row r="103" spans="1:3" ht="105">
      <c r="A103" s="21" t="s">
        <v>708</v>
      </c>
      <c r="B103" s="20" t="s">
        <v>709</v>
      </c>
      <c r="C103"/>
    </row>
    <row r="104" spans="1:3" ht="45">
      <c r="A104" s="21" t="s">
        <v>710</v>
      </c>
      <c r="B104" s="20" t="s">
        <v>711</v>
      </c>
      <c r="C104"/>
    </row>
    <row r="105" spans="1:3" ht="60">
      <c r="A105" s="21" t="s">
        <v>712</v>
      </c>
      <c r="B105" s="20" t="s">
        <v>713</v>
      </c>
      <c r="C105"/>
    </row>
    <row r="106" spans="1:3" ht="75">
      <c r="A106" s="21" t="s">
        <v>714</v>
      </c>
      <c r="B106" s="20" t="s">
        <v>715</v>
      </c>
      <c r="C106"/>
    </row>
    <row r="107" spans="1:3" ht="75">
      <c r="A107" s="21" t="s">
        <v>716</v>
      </c>
      <c r="B107" s="20" t="s">
        <v>717</v>
      </c>
      <c r="C107"/>
    </row>
    <row r="108" spans="1:3" ht="45">
      <c r="A108" s="21" t="s">
        <v>718</v>
      </c>
      <c r="B108" s="20"/>
      <c r="C108"/>
    </row>
    <row r="109" spans="1:3" ht="14">
      <c r="A109" s="21"/>
      <c r="B109" s="20" t="s">
        <v>719</v>
      </c>
      <c r="C109"/>
    </row>
    <row r="110" spans="1:3" ht="45">
      <c r="A110" s="21" t="s">
        <v>720</v>
      </c>
      <c r="B110" s="20" t="s">
        <v>721</v>
      </c>
      <c r="C110"/>
    </row>
    <row r="111" spans="1:3" ht="30">
      <c r="A111" s="21" t="s">
        <v>722</v>
      </c>
      <c r="B111" s="20" t="s">
        <v>719</v>
      </c>
      <c r="C111"/>
    </row>
    <row r="112" spans="1:3" ht="75">
      <c r="A112" s="21" t="s">
        <v>723</v>
      </c>
      <c r="B112" s="20" t="s">
        <v>724</v>
      </c>
      <c r="C112"/>
    </row>
    <row r="113" spans="1:3" ht="60">
      <c r="A113" s="21" t="s">
        <v>725</v>
      </c>
      <c r="B113" s="20" t="s">
        <v>726</v>
      </c>
      <c r="C113"/>
    </row>
    <row r="114" spans="1:3" ht="75">
      <c r="A114" s="21" t="s">
        <v>727</v>
      </c>
      <c r="B114" s="20" t="s">
        <v>728</v>
      </c>
      <c r="C114"/>
    </row>
    <row r="115" spans="1:3" ht="60">
      <c r="A115" s="21" t="s">
        <v>729</v>
      </c>
      <c r="B115" s="20" t="s">
        <v>730</v>
      </c>
      <c r="C115"/>
    </row>
    <row r="116" spans="1:3" ht="210">
      <c r="A116" s="21" t="s">
        <v>731</v>
      </c>
      <c r="B116" s="20" t="s">
        <v>732</v>
      </c>
      <c r="C116"/>
    </row>
    <row r="117" spans="1:3" ht="60">
      <c r="A117" s="21" t="s">
        <v>733</v>
      </c>
      <c r="B117" s="20" t="s">
        <v>734</v>
      </c>
      <c r="C117"/>
    </row>
    <row r="118" spans="1:3" ht="240">
      <c r="A118" s="21" t="s">
        <v>735</v>
      </c>
      <c r="B118" s="20" t="s">
        <v>736</v>
      </c>
      <c r="C118"/>
    </row>
    <row r="119" spans="1:3" ht="255">
      <c r="A119" s="21" t="s">
        <v>737</v>
      </c>
      <c r="B119" s="20" t="s">
        <v>738</v>
      </c>
      <c r="C119"/>
    </row>
    <row r="120" spans="1:3" ht="15">
      <c r="A120" s="21" t="s">
        <v>513</v>
      </c>
      <c r="B120" s="20" t="s">
        <v>739</v>
      </c>
      <c r="C120"/>
    </row>
    <row r="121" spans="1:3" ht="15">
      <c r="A121" s="21" t="s">
        <v>515</v>
      </c>
      <c r="B121" s="20" t="s">
        <v>740</v>
      </c>
      <c r="C121"/>
    </row>
    <row r="122" spans="1:3" ht="165">
      <c r="A122" s="21" t="s">
        <v>741</v>
      </c>
      <c r="B122" s="20" t="s">
        <v>742</v>
      </c>
      <c r="C122"/>
    </row>
    <row r="123" spans="1:3" ht="75">
      <c r="A123" s="21" t="s">
        <v>743</v>
      </c>
      <c r="B123" s="20" t="s">
        <v>744</v>
      </c>
      <c r="C123"/>
    </row>
    <row r="124" spans="1:3" ht="90">
      <c r="A124" s="21" t="s">
        <v>745</v>
      </c>
      <c r="B124" s="21" t="s">
        <v>746</v>
      </c>
      <c r="C124"/>
    </row>
    <row r="125" spans="1:3" ht="75">
      <c r="A125" s="21" t="s">
        <v>747</v>
      </c>
      <c r="B125" s="20" t="s">
        <v>748</v>
      </c>
      <c r="C125"/>
    </row>
    <row r="126" spans="1:3" ht="60">
      <c r="A126" s="21" t="s">
        <v>749</v>
      </c>
      <c r="B126" s="21" t="s">
        <v>750</v>
      </c>
      <c r="C126"/>
    </row>
    <row r="127" spans="1:3" ht="240">
      <c r="A127" s="21" t="s">
        <v>751</v>
      </c>
      <c r="B127" s="20" t="s">
        <v>752</v>
      </c>
      <c r="C127"/>
    </row>
    <row r="128" spans="1:3" ht="165">
      <c r="A128" s="21" t="s">
        <v>753</v>
      </c>
      <c r="B128" s="21" t="s">
        <v>754</v>
      </c>
      <c r="C128"/>
    </row>
    <row r="129" spans="1:3" ht="45">
      <c r="A129" s="21" t="s">
        <v>755</v>
      </c>
      <c r="B129" s="20" t="s">
        <v>756</v>
      </c>
      <c r="C129"/>
    </row>
    <row r="130" spans="1:3" ht="60">
      <c r="A130" s="21" t="s">
        <v>757</v>
      </c>
      <c r="B130" s="20"/>
      <c r="C130"/>
    </row>
    <row r="131" spans="1:3" ht="15">
      <c r="A131" s="21" t="s">
        <v>758</v>
      </c>
      <c r="B131" s="20" t="s">
        <v>759</v>
      </c>
      <c r="C131"/>
    </row>
    <row r="132" spans="1:3" ht="15">
      <c r="A132" s="21" t="s">
        <v>760</v>
      </c>
      <c r="B132" s="20" t="s">
        <v>761</v>
      </c>
      <c r="C132"/>
    </row>
    <row r="133" spans="1:3" ht="15">
      <c r="A133" s="21" t="s">
        <v>762</v>
      </c>
      <c r="B133" s="20" t="s">
        <v>763</v>
      </c>
      <c r="C133"/>
    </row>
    <row r="134" spans="1:3" ht="15">
      <c r="A134" s="21" t="s">
        <v>764</v>
      </c>
      <c r="B134" s="20" t="s">
        <v>765</v>
      </c>
      <c r="C134"/>
    </row>
    <row r="135" spans="1:3" ht="45">
      <c r="A135" s="21" t="s">
        <v>766</v>
      </c>
      <c r="B135" s="20" t="s">
        <v>767</v>
      </c>
      <c r="C135"/>
    </row>
    <row r="136" spans="1:3" ht="15">
      <c r="A136" s="21" t="s">
        <v>768</v>
      </c>
      <c r="B136" s="20" t="s">
        <v>769</v>
      </c>
      <c r="C136"/>
    </row>
    <row r="137" spans="1:3" ht="15">
      <c r="A137" s="21" t="s">
        <v>768</v>
      </c>
      <c r="B137" s="20" t="s">
        <v>770</v>
      </c>
      <c r="C137"/>
    </row>
    <row r="138" spans="1:3" ht="14">
      <c r="A138" s="20"/>
      <c r="B138" s="20"/>
      <c r="C138"/>
    </row>
    <row r="139" spans="1:3" ht="15">
      <c r="A139" s="21" t="s">
        <v>371</v>
      </c>
      <c r="B139" s="20"/>
      <c r="C139"/>
    </row>
    <row r="140" spans="1:3" ht="105">
      <c r="A140" s="21" t="s">
        <v>372</v>
      </c>
      <c r="B140" s="20" t="s">
        <v>373</v>
      </c>
      <c r="C140"/>
    </row>
    <row r="141" spans="1:3" ht="135">
      <c r="A141" s="21" t="s">
        <v>374</v>
      </c>
      <c r="B141" s="20" t="s">
        <v>375</v>
      </c>
      <c r="C141"/>
    </row>
    <row r="142" spans="1:3" ht="105">
      <c r="A142" s="21" t="s">
        <v>376</v>
      </c>
      <c r="B142" s="20" t="s">
        <v>377</v>
      </c>
      <c r="C142"/>
    </row>
    <row r="143" spans="1:3" ht="105">
      <c r="A143" s="21" t="s">
        <v>378</v>
      </c>
      <c r="B143" s="20" t="s">
        <v>379</v>
      </c>
      <c r="C143"/>
    </row>
    <row r="144" spans="1:3" ht="30">
      <c r="A144" s="21" t="s">
        <v>380</v>
      </c>
      <c r="B144" s="20" t="s">
        <v>381</v>
      </c>
      <c r="C144"/>
    </row>
    <row r="145" spans="1:3" ht="90">
      <c r="A145" s="21" t="s">
        <v>382</v>
      </c>
      <c r="B145" s="20" t="s">
        <v>383</v>
      </c>
      <c r="C145"/>
    </row>
    <row r="146" spans="1:3" ht="165">
      <c r="A146" s="21" t="s">
        <v>384</v>
      </c>
      <c r="B146" s="20" t="s">
        <v>385</v>
      </c>
      <c r="C146"/>
    </row>
    <row r="147" spans="1:3" ht="15">
      <c r="A147" s="21" t="s">
        <v>386</v>
      </c>
      <c r="B147" s="20" t="s">
        <v>387</v>
      </c>
      <c r="C147"/>
    </row>
    <row r="148" spans="1:3" ht="30">
      <c r="A148" s="21" t="s">
        <v>388</v>
      </c>
      <c r="B148" s="20" t="s">
        <v>389</v>
      </c>
      <c r="C148"/>
    </row>
    <row r="149" spans="1:3" ht="30">
      <c r="A149" s="21" t="s">
        <v>390</v>
      </c>
      <c r="B149" s="20" t="s">
        <v>391</v>
      </c>
      <c r="C149"/>
    </row>
    <row r="150" spans="1:3" ht="30">
      <c r="A150" s="21" t="s">
        <v>392</v>
      </c>
      <c r="B150" s="20" t="s">
        <v>393</v>
      </c>
      <c r="C150"/>
    </row>
    <row r="151" spans="1:3" ht="210">
      <c r="A151" s="21" t="s">
        <v>394</v>
      </c>
      <c r="B151" s="20" t="s">
        <v>395</v>
      </c>
      <c r="C151"/>
    </row>
    <row r="152" spans="1:3" ht="105">
      <c r="A152" s="21" t="s">
        <v>396</v>
      </c>
      <c r="B152" s="20" t="s">
        <v>397</v>
      </c>
      <c r="C152"/>
    </row>
    <row r="153" spans="1:3" ht="60">
      <c r="A153" s="21" t="s">
        <v>398</v>
      </c>
      <c r="B153" s="20" t="s">
        <v>399</v>
      </c>
      <c r="C153"/>
    </row>
    <row r="154" spans="1:3" ht="165">
      <c r="A154" s="21" t="s">
        <v>400</v>
      </c>
      <c r="B154" s="20" t="s">
        <v>401</v>
      </c>
      <c r="C154"/>
    </row>
    <row r="155" spans="1:3" ht="45">
      <c r="A155" s="21" t="s">
        <v>402</v>
      </c>
      <c r="B155" s="20" t="s">
        <v>403</v>
      </c>
      <c r="C155"/>
    </row>
    <row r="156" spans="1:3" ht="60">
      <c r="A156" s="21" t="s">
        <v>404</v>
      </c>
      <c r="B156" s="20" t="s">
        <v>405</v>
      </c>
      <c r="C156"/>
    </row>
    <row r="157" spans="1:3" ht="45">
      <c r="A157" s="21" t="s">
        <v>406</v>
      </c>
      <c r="B157" s="20" t="s">
        <v>407</v>
      </c>
      <c r="C157"/>
    </row>
    <row r="158" spans="1:3" ht="45">
      <c r="A158" s="21" t="s">
        <v>408</v>
      </c>
      <c r="B158" s="20"/>
      <c r="C158"/>
    </row>
    <row r="159" spans="1:3" ht="135">
      <c r="A159" s="21" t="s">
        <v>409</v>
      </c>
      <c r="B159" s="20" t="s">
        <v>410</v>
      </c>
      <c r="C159"/>
    </row>
    <row r="160" spans="1:3" ht="15">
      <c r="A160" s="21" t="s">
        <v>411</v>
      </c>
      <c r="B160" s="20" t="s">
        <v>412</v>
      </c>
      <c r="C160"/>
    </row>
    <row r="161" spans="1:3" ht="30">
      <c r="A161" s="21" t="s">
        <v>413</v>
      </c>
      <c r="B161" s="20" t="s">
        <v>414</v>
      </c>
      <c r="C161"/>
    </row>
    <row r="162" spans="1:3" ht="15">
      <c r="A162" s="21" t="s">
        <v>415</v>
      </c>
      <c r="B162" s="20" t="s">
        <v>416</v>
      </c>
      <c r="C162"/>
    </row>
    <row r="163" spans="1:3" ht="15">
      <c r="A163" s="21" t="s">
        <v>417</v>
      </c>
      <c r="B163" s="20" t="s">
        <v>418</v>
      </c>
      <c r="C163"/>
    </row>
    <row r="164" spans="1:3" ht="15">
      <c r="A164" s="21" t="s">
        <v>419</v>
      </c>
      <c r="B164" s="20" t="s">
        <v>420</v>
      </c>
      <c r="C164"/>
    </row>
    <row r="165" spans="1:3" ht="60">
      <c r="A165" s="21" t="s">
        <v>421</v>
      </c>
      <c r="B165" s="20" t="s">
        <v>422</v>
      </c>
      <c r="C165"/>
    </row>
    <row r="166" spans="1:3" ht="135">
      <c r="A166" s="21" t="s">
        <v>423</v>
      </c>
      <c r="B166" s="20" t="s">
        <v>424</v>
      </c>
      <c r="C166"/>
    </row>
    <row r="167" spans="1:3" ht="45">
      <c r="A167" s="21" t="s">
        <v>425</v>
      </c>
      <c r="B167" s="20" t="s">
        <v>426</v>
      </c>
      <c r="C167"/>
    </row>
    <row r="168" spans="1:3" ht="60">
      <c r="A168" s="21" t="s">
        <v>427</v>
      </c>
      <c r="B168" s="20"/>
      <c r="C168"/>
    </row>
    <row r="169" spans="1:3" ht="60">
      <c r="A169" s="21" t="s">
        <v>428</v>
      </c>
      <c r="B169" s="20" t="s">
        <v>429</v>
      </c>
      <c r="C169"/>
    </row>
    <row r="170" spans="1:3" ht="15">
      <c r="A170" s="21" t="s">
        <v>430</v>
      </c>
      <c r="B170" s="20" t="s">
        <v>431</v>
      </c>
      <c r="C170"/>
    </row>
    <row r="171" spans="1:3" ht="165">
      <c r="A171" s="21" t="s">
        <v>432</v>
      </c>
      <c r="B171" s="20" t="s">
        <v>433</v>
      </c>
      <c r="C171"/>
    </row>
    <row r="172" spans="1:3" ht="90">
      <c r="A172" s="21" t="s">
        <v>434</v>
      </c>
      <c r="B172" s="20" t="s">
        <v>435</v>
      </c>
      <c r="C172"/>
    </row>
    <row r="173" spans="1:3" ht="30">
      <c r="A173" s="21" t="s">
        <v>436</v>
      </c>
      <c r="B173" s="20" t="s">
        <v>437</v>
      </c>
      <c r="C173"/>
    </row>
    <row r="174" spans="1:3" ht="30">
      <c r="A174" s="21" t="s">
        <v>438</v>
      </c>
      <c r="B174" s="20" t="s">
        <v>439</v>
      </c>
      <c r="C174"/>
    </row>
    <row r="175" spans="1:3" ht="195">
      <c r="A175" s="21" t="s">
        <v>440</v>
      </c>
      <c r="B175" s="20" t="s">
        <v>441</v>
      </c>
      <c r="C175"/>
    </row>
    <row r="176" spans="1:3" ht="165">
      <c r="A176" s="21" t="s">
        <v>442</v>
      </c>
      <c r="B176" s="20" t="s">
        <v>443</v>
      </c>
      <c r="C176"/>
    </row>
    <row r="177" spans="1:3" ht="90">
      <c r="A177" s="21" t="s">
        <v>444</v>
      </c>
      <c r="B177" s="20" t="s">
        <v>445</v>
      </c>
      <c r="C177"/>
    </row>
    <row r="178" spans="1:3" ht="60">
      <c r="A178" s="21" t="s">
        <v>446</v>
      </c>
      <c r="B178" s="20" t="s">
        <v>447</v>
      </c>
      <c r="C178"/>
    </row>
    <row r="179" spans="1:3" ht="90">
      <c r="A179" s="21" t="s">
        <v>448</v>
      </c>
      <c r="B179" s="20" t="s">
        <v>449</v>
      </c>
      <c r="C179"/>
    </row>
    <row r="180" spans="1:3" ht="45">
      <c r="A180" s="21" t="s">
        <v>450</v>
      </c>
      <c r="B180" s="20" t="s">
        <v>451</v>
      </c>
      <c r="C180"/>
    </row>
    <row r="181" spans="1:3" ht="15">
      <c r="A181" s="21" t="s">
        <v>452</v>
      </c>
      <c r="B181" s="20" t="s">
        <v>453</v>
      </c>
      <c r="C181"/>
    </row>
    <row r="182" spans="1:3" ht="15">
      <c r="A182" s="21" t="s">
        <v>454</v>
      </c>
      <c r="B182" s="20" t="s">
        <v>455</v>
      </c>
      <c r="C182"/>
    </row>
    <row r="183" spans="1:3" ht="45">
      <c r="A183" s="21" t="s">
        <v>456</v>
      </c>
      <c r="B183" s="20" t="s">
        <v>457</v>
      </c>
      <c r="C183"/>
    </row>
    <row r="184" spans="1:3" ht="15">
      <c r="A184" s="21" t="s">
        <v>458</v>
      </c>
      <c r="B184" s="20"/>
      <c r="C184"/>
    </row>
    <row r="185" spans="1:3" ht="15">
      <c r="A185" s="21" t="s">
        <v>459</v>
      </c>
      <c r="B185" s="20" t="s">
        <v>460</v>
      </c>
      <c r="C185"/>
    </row>
    <row r="186" spans="1:3" ht="15">
      <c r="A186" s="21" t="s">
        <v>461</v>
      </c>
      <c r="B186" s="20" t="s">
        <v>462</v>
      </c>
      <c r="C186"/>
    </row>
    <row r="187" spans="1:3" ht="15">
      <c r="A187" s="21" t="s">
        <v>463</v>
      </c>
      <c r="B187" s="20" t="s">
        <v>464</v>
      </c>
      <c r="C187"/>
    </row>
    <row r="188" spans="1:3" ht="15">
      <c r="A188" s="21" t="s">
        <v>465</v>
      </c>
      <c r="B188" s="20" t="s">
        <v>466</v>
      </c>
      <c r="C188"/>
    </row>
    <row r="189" spans="1:3" ht="45">
      <c r="A189" s="21" t="s">
        <v>467</v>
      </c>
      <c r="B189" s="20" t="s">
        <v>468</v>
      </c>
      <c r="C189"/>
    </row>
    <row r="190" spans="1:3" ht="15">
      <c r="A190" s="21" t="s">
        <v>469</v>
      </c>
      <c r="B190" s="20" t="s">
        <v>470</v>
      </c>
      <c r="C190"/>
    </row>
    <row r="191" spans="1:3" ht="15">
      <c r="A191" s="21" t="s">
        <v>471</v>
      </c>
      <c r="B191" s="20" t="s">
        <v>472</v>
      </c>
      <c r="C191"/>
    </row>
    <row r="192" spans="1:3" ht="15">
      <c r="A192" s="21" t="s">
        <v>473</v>
      </c>
      <c r="B192" s="20" t="s">
        <v>474</v>
      </c>
      <c r="C192"/>
    </row>
    <row r="193" spans="1:3" ht="15">
      <c r="A193" s="21" t="s">
        <v>475</v>
      </c>
      <c r="B193" s="20" t="s">
        <v>476</v>
      </c>
      <c r="C193"/>
    </row>
    <row r="194" spans="1:3" ht="15">
      <c r="A194" s="21" t="s">
        <v>477</v>
      </c>
      <c r="B194" s="20" t="s">
        <v>478</v>
      </c>
      <c r="C194"/>
    </row>
    <row r="195" spans="1:3" ht="15">
      <c r="A195" s="21" t="s">
        <v>479</v>
      </c>
      <c r="B195" s="20" t="s">
        <v>480</v>
      </c>
      <c r="C195"/>
    </row>
    <row r="196" spans="1:3" ht="15">
      <c r="A196" s="21" t="s">
        <v>481</v>
      </c>
      <c r="B196" s="20" t="s">
        <v>482</v>
      </c>
      <c r="C196"/>
    </row>
    <row r="197" spans="1:3" ht="15">
      <c r="A197" s="21" t="s">
        <v>483</v>
      </c>
      <c r="B197" s="20" t="s">
        <v>484</v>
      </c>
      <c r="C197"/>
    </row>
    <row r="198" spans="1:3" ht="15">
      <c r="A198" s="21" t="s">
        <v>485</v>
      </c>
      <c r="B198" s="20" t="s">
        <v>486</v>
      </c>
      <c r="C198"/>
    </row>
    <row r="199" spans="1:3" ht="30">
      <c r="A199" s="21" t="s">
        <v>487</v>
      </c>
      <c r="B199" s="20" t="s">
        <v>488</v>
      </c>
      <c r="C199"/>
    </row>
    <row r="200" spans="1:3" ht="30">
      <c r="A200" s="21" t="s">
        <v>489</v>
      </c>
      <c r="B200" s="20" t="s">
        <v>490</v>
      </c>
      <c r="C200"/>
    </row>
    <row r="201" spans="1:3" ht="30">
      <c r="A201" s="21" t="s">
        <v>491</v>
      </c>
      <c r="B201" s="20" t="s">
        <v>492</v>
      </c>
      <c r="C201"/>
    </row>
    <row r="202" spans="1:3" ht="15">
      <c r="A202" s="21" t="s">
        <v>493</v>
      </c>
      <c r="B202" s="20" t="s">
        <v>494</v>
      </c>
      <c r="C202"/>
    </row>
    <row r="203" spans="1:3" ht="15">
      <c r="A203" s="21" t="s">
        <v>495</v>
      </c>
      <c r="B203" s="20" t="s">
        <v>496</v>
      </c>
      <c r="C203"/>
    </row>
    <row r="204" spans="1:3" ht="15">
      <c r="A204" s="21" t="s">
        <v>497</v>
      </c>
      <c r="B204" s="20" t="s">
        <v>498</v>
      </c>
      <c r="C204"/>
    </row>
    <row r="205" spans="1:3" ht="15">
      <c r="A205" s="21" t="s">
        <v>499</v>
      </c>
      <c r="B205" s="20" t="s">
        <v>500</v>
      </c>
      <c r="C205"/>
    </row>
    <row r="206" spans="1:3" ht="15">
      <c r="A206" s="21" t="s">
        <v>501</v>
      </c>
      <c r="B206" s="20" t="s">
        <v>502</v>
      </c>
      <c r="C206"/>
    </row>
    <row r="207" spans="1:3" ht="15">
      <c r="A207" s="21" t="s">
        <v>501</v>
      </c>
      <c r="B207" s="20" t="s">
        <v>503</v>
      </c>
      <c r="C207"/>
    </row>
    <row r="208" spans="1:3" ht="30">
      <c r="A208" s="21" t="s">
        <v>504</v>
      </c>
      <c r="B208" s="20" t="s">
        <v>505</v>
      </c>
      <c r="C208"/>
    </row>
    <row r="209" spans="1:3" ht="60">
      <c r="A209" s="21" t="s">
        <v>506</v>
      </c>
      <c r="B209" s="20" t="s">
        <v>507</v>
      </c>
      <c r="C209"/>
    </row>
    <row r="210" spans="1:3" ht="120">
      <c r="A210" s="21" t="s">
        <v>508</v>
      </c>
      <c r="B210" s="20" t="s">
        <v>509</v>
      </c>
      <c r="C210"/>
    </row>
    <row r="211" spans="1:3" ht="255">
      <c r="A211" s="21" t="s">
        <v>510</v>
      </c>
      <c r="B211" s="20" t="s">
        <v>511</v>
      </c>
      <c r="C211"/>
    </row>
    <row r="212" spans="1:3" ht="30">
      <c r="A212" s="21" t="s">
        <v>512</v>
      </c>
      <c r="B212" s="20"/>
      <c r="C212"/>
    </row>
    <row r="213" spans="1:3" ht="15">
      <c r="A213" s="21" t="s">
        <v>513</v>
      </c>
      <c r="B213" s="20" t="s">
        <v>514</v>
      </c>
      <c r="C213"/>
    </row>
    <row r="214" spans="1:3" ht="15">
      <c r="A214" s="21" t="s">
        <v>515</v>
      </c>
      <c r="B214" s="20" t="s">
        <v>516</v>
      </c>
      <c r="C214"/>
    </row>
    <row r="215" spans="1:3" ht="165">
      <c r="A215" s="21" t="s">
        <v>517</v>
      </c>
      <c r="B215" s="20" t="s">
        <v>518</v>
      </c>
      <c r="C215"/>
    </row>
    <row r="216" spans="1:3" ht="45">
      <c r="A216" s="21" t="s">
        <v>519</v>
      </c>
      <c r="B216" s="20" t="s">
        <v>520</v>
      </c>
      <c r="C216"/>
    </row>
    <row r="217" spans="1:3" ht="15">
      <c r="A217" s="21" t="s">
        <v>521</v>
      </c>
      <c r="B217" s="20"/>
      <c r="C217"/>
    </row>
    <row r="218" spans="1:3" ht="15">
      <c r="A218" s="21" t="s">
        <v>522</v>
      </c>
      <c r="B218" s="20"/>
      <c r="C218"/>
    </row>
    <row r="219" spans="1:3" ht="15">
      <c r="A219" s="21" t="s">
        <v>523</v>
      </c>
      <c r="B219" s="20"/>
      <c r="C219"/>
    </row>
    <row r="220" spans="1:3" ht="15">
      <c r="A220" s="21" t="s">
        <v>524</v>
      </c>
      <c r="B220" s="20"/>
      <c r="C220"/>
    </row>
    <row r="221" spans="1:3" ht="75">
      <c r="A221" s="21" t="s">
        <v>525</v>
      </c>
      <c r="B221" s="20" t="s">
        <v>526</v>
      </c>
      <c r="C221"/>
    </row>
    <row r="222" spans="1:3" ht="15">
      <c r="A222" s="21" t="s">
        <v>527</v>
      </c>
      <c r="B222" s="20" t="s">
        <v>528</v>
      </c>
      <c r="C222"/>
    </row>
    <row r="223" spans="1:3" ht="15">
      <c r="A223" s="21" t="s">
        <v>529</v>
      </c>
      <c r="B223" s="20" t="s">
        <v>530</v>
      </c>
      <c r="C223"/>
    </row>
    <row r="224" spans="1:3">
      <c r="A224"/>
      <c r="B224"/>
      <c r="C224"/>
    </row>
    <row r="225" customFormat="1"/>
    <row r="226" customFormat="1"/>
    <row r="227" customFormat="1"/>
    <row r="228" customFormat="1"/>
    <row r="229" customFormat="1"/>
    <row r="230" customFormat="1"/>
    <row r="231" customFormat="1"/>
    <row r="232" customFormat="1"/>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7E315-CC1A-AE48-B10A-F62C65687017}">
  <dimension ref="A1:E14"/>
  <sheetViews>
    <sheetView workbookViewId="0">
      <selection activeCell="O55" sqref="O55"/>
    </sheetView>
  </sheetViews>
  <sheetFormatPr baseColWidth="10" defaultRowHeight="13"/>
  <cols>
    <col min="1" max="1" width="18.5" customWidth="1"/>
    <col min="2" max="2" width="41.5" customWidth="1"/>
    <col min="3" max="3" width="23.5" customWidth="1"/>
    <col min="4" max="4" width="22.1640625" customWidth="1"/>
  </cols>
  <sheetData>
    <row r="1" spans="1:5" ht="16">
      <c r="A1" s="28" t="s">
        <v>772</v>
      </c>
      <c r="B1" s="28" t="s">
        <v>773</v>
      </c>
      <c r="C1" s="30" t="s">
        <v>801</v>
      </c>
      <c r="E1" s="9" t="s">
        <v>802</v>
      </c>
    </row>
    <row r="2" spans="1:5" ht="16">
      <c r="A2" s="29" t="s">
        <v>638</v>
      </c>
      <c r="B2" s="29" t="s">
        <v>774</v>
      </c>
      <c r="C2" s="9" t="s">
        <v>795</v>
      </c>
    </row>
    <row r="3" spans="1:5" ht="16">
      <c r="A3" s="29" t="s">
        <v>639</v>
      </c>
      <c r="B3" s="29" t="s">
        <v>775</v>
      </c>
      <c r="C3" s="9" t="s">
        <v>795</v>
      </c>
    </row>
    <row r="4" spans="1:5" ht="16">
      <c r="A4" s="29" t="s">
        <v>663</v>
      </c>
      <c r="B4" s="29" t="s">
        <v>776</v>
      </c>
      <c r="C4" s="9" t="s">
        <v>796</v>
      </c>
    </row>
    <row r="5" spans="1:5" ht="16">
      <c r="A5" s="29" t="s">
        <v>777</v>
      </c>
      <c r="B5" s="29" t="s">
        <v>778</v>
      </c>
      <c r="C5" s="9" t="s">
        <v>800</v>
      </c>
    </row>
    <row r="6" spans="1:5" ht="16">
      <c r="A6" s="29" t="s">
        <v>779</v>
      </c>
      <c r="B6" s="29" t="s">
        <v>780</v>
      </c>
      <c r="C6" s="9" t="s">
        <v>800</v>
      </c>
    </row>
    <row r="7" spans="1:5" ht="16">
      <c r="A7" s="29" t="s">
        <v>781</v>
      </c>
      <c r="B7" s="29" t="s">
        <v>782</v>
      </c>
      <c r="C7" s="9" t="s">
        <v>800</v>
      </c>
    </row>
    <row r="8" spans="1:5" ht="16">
      <c r="A8" s="29" t="s">
        <v>783</v>
      </c>
      <c r="B8" s="29" t="s">
        <v>784</v>
      </c>
      <c r="C8" s="9" t="s">
        <v>800</v>
      </c>
    </row>
    <row r="9" spans="1:5" ht="16">
      <c r="A9" s="29" t="s">
        <v>785</v>
      </c>
      <c r="B9" s="29" t="s">
        <v>786</v>
      </c>
      <c r="C9" s="9" t="s">
        <v>800</v>
      </c>
    </row>
    <row r="10" spans="1:5" ht="16">
      <c r="A10" s="29" t="s">
        <v>787</v>
      </c>
      <c r="B10" s="29" t="s">
        <v>788</v>
      </c>
      <c r="C10" s="9" t="s">
        <v>797</v>
      </c>
    </row>
    <row r="11" spans="1:5" ht="16">
      <c r="A11" s="29" t="s">
        <v>789</v>
      </c>
      <c r="B11" s="29" t="s">
        <v>790</v>
      </c>
      <c r="C11" s="9" t="s">
        <v>797</v>
      </c>
    </row>
    <row r="12" spans="1:5" ht="16">
      <c r="A12" s="29" t="s">
        <v>791</v>
      </c>
      <c r="B12" s="29" t="s">
        <v>792</v>
      </c>
      <c r="C12" s="9" t="s">
        <v>796</v>
      </c>
    </row>
    <row r="13" spans="1:5" ht="16">
      <c r="A13" s="29" t="s">
        <v>752</v>
      </c>
      <c r="B13" s="29" t="s">
        <v>793</v>
      </c>
      <c r="C13" s="9" t="s">
        <v>798</v>
      </c>
    </row>
    <row r="14" spans="1:5" ht="16">
      <c r="A14" s="29" t="s">
        <v>117</v>
      </c>
      <c r="B14" s="29" t="s">
        <v>794</v>
      </c>
      <c r="C14" s="9" t="s">
        <v>799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0B940-AE5B-4C4F-AA5D-AB97098977DF}">
  <dimension ref="A1:A7"/>
  <sheetViews>
    <sheetView workbookViewId="0">
      <selection activeCell="A8" sqref="A8"/>
    </sheetView>
  </sheetViews>
  <sheetFormatPr baseColWidth="10" defaultRowHeight="13"/>
  <sheetData>
    <row r="1" spans="1:1" s="30" customFormat="1">
      <c r="A1" s="30" t="s">
        <v>805</v>
      </c>
    </row>
    <row r="2" spans="1:1">
      <c r="A2" s="9" t="s">
        <v>803</v>
      </c>
    </row>
    <row r="3" spans="1:1">
      <c r="A3" s="9" t="s">
        <v>804</v>
      </c>
    </row>
    <row r="4" spans="1:1">
      <c r="A4" s="9" t="s">
        <v>614</v>
      </c>
    </row>
    <row r="7" spans="1:1">
      <c r="A7" s="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Sample_Countries</vt:lpstr>
      <vt:lpstr>Till Sample composition</vt:lpstr>
      <vt:lpstr>Potential Controls outside DHS</vt:lpstr>
      <vt:lpstr>women dhs potential outcomes</vt:lpstr>
      <vt:lpstr>Men dhs potential outcomes</vt:lpstr>
      <vt:lpstr>Potential controls DHS </vt:lpstr>
      <vt:lpstr>Harmonized vars  cross sample</vt:lpstr>
      <vt:lpstr>Critical vars for merging etc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Casey Breen</cp:lastModifiedBy>
  <dcterms:created xsi:type="dcterms:W3CDTF">2024-07-29T10:30:07Z</dcterms:created>
  <dcterms:modified xsi:type="dcterms:W3CDTF">2024-08-28T21:17:56Z</dcterms:modified>
</cp:coreProperties>
</file>